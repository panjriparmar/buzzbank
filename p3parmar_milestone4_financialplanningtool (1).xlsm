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873B2839-AC87-7CC4-5C0F-16DCB9831742}"/>
  <workbookPr codeName="ThisWorkbook" hidePivotFieldList="1" defaultThemeVersion="166925"/>
  <mc:AlternateContent xmlns:mc="http://schemas.openxmlformats.org/markup-compatibility/2006">
    <mc:Choice Requires="x15">
      <x15ac:absPath xmlns:x15ac="http://schemas.microsoft.com/office/spreadsheetml/2010/11/ac" url="/Users/Panjri/Downloads/"/>
    </mc:Choice>
  </mc:AlternateContent>
  <xr:revisionPtr revIDLastSave="0" documentId="13_ncr:1_{E1D48AA5-8162-DD45-9962-0D78A4AA2113}" xr6:coauthVersionLast="47" xr6:coauthVersionMax="47" xr10:uidLastSave="{00000000-0000-0000-0000-000000000000}"/>
  <bookViews>
    <workbookView xWindow="0" yWindow="740" windowWidth="29400" windowHeight="17040" activeTab="1" xr2:uid="{BC11F8FC-546E-4EC5-A351-457E4035617C}"/>
  </bookViews>
  <sheets>
    <sheet name="Dashboard" sheetId="3" r:id="rId1"/>
    <sheet name="Expense" sheetId="2" r:id="rId2"/>
    <sheet name="Budget" sheetId="1" r:id="rId3"/>
    <sheet name="Income" sheetId="4" r:id="rId4"/>
    <sheet name="Advice" sheetId="6" r:id="rId5"/>
    <sheet name="Calculation (Not for editing)" sheetId="5" r:id="rId6"/>
  </sheets>
  <definedNames>
    <definedName name="Slicer_Category">#N/A</definedName>
  </definedNames>
  <calcPr calcId="191029"/>
  <pivotCaches>
    <pivotCache cacheId="101" r:id="rId7"/>
    <pivotCache cacheId="107" r:id="rId8"/>
    <pivotCache cacheId="111"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4" l="1"/>
  <c r="A32" i="3"/>
  <c r="K6" i="5"/>
  <c r="K5" i="5"/>
  <c r="K4" i="5"/>
  <c r="K3" i="5"/>
  <c r="K2" i="5"/>
  <c r="G12" i="2"/>
  <c r="A2" i="5"/>
  <c r="B11" i="1"/>
  <c r="J2" i="5"/>
  <c r="B26" i="6"/>
  <c r="J6" i="5"/>
  <c r="B23" i="6"/>
  <c r="B22" i="6"/>
  <c r="J5" i="5"/>
  <c r="B24" i="6"/>
  <c r="B25" i="6"/>
  <c r="J4" i="5"/>
  <c r="J3" i="5"/>
  <c r="B12" i="1" l="1"/>
  <c r="B2" i="5"/>
  <c r="B32" i="3" s="1"/>
</calcChain>
</file>

<file path=xl/sharedStrings.xml><?xml version="1.0" encoding="utf-8"?>
<sst xmlns="http://schemas.openxmlformats.org/spreadsheetml/2006/main" count="357" uniqueCount="42">
  <si>
    <t>Monthly Budget</t>
  </si>
  <si>
    <t>Category:</t>
  </si>
  <si>
    <t>Budgeted Amount:</t>
  </si>
  <si>
    <t>Shopping</t>
  </si>
  <si>
    <t>Bills</t>
  </si>
  <si>
    <t>School</t>
  </si>
  <si>
    <t>Grocery</t>
  </si>
  <si>
    <t>Entertainment</t>
  </si>
  <si>
    <t>Total Budget:</t>
  </si>
  <si>
    <t>Expense Log</t>
  </si>
  <si>
    <t>Date:</t>
  </si>
  <si>
    <t>Amount:</t>
  </si>
  <si>
    <t>Groceries</t>
  </si>
  <si>
    <t>Total Spent:</t>
  </si>
  <si>
    <t>Points Earned:</t>
  </si>
  <si>
    <t>Monthly Income</t>
  </si>
  <si>
    <t>Amount per Month</t>
  </si>
  <si>
    <t>Co-op</t>
  </si>
  <si>
    <t>Part-time</t>
  </si>
  <si>
    <t>Other financial support</t>
  </si>
  <si>
    <t>This Month's Savings:</t>
  </si>
  <si>
    <t>Grand Total</t>
  </si>
  <si>
    <t>Sum of Amount:</t>
  </si>
  <si>
    <t>Row Labels</t>
  </si>
  <si>
    <t>BuzzBank</t>
  </si>
  <si>
    <t>Budget</t>
  </si>
  <si>
    <t>Spent</t>
  </si>
  <si>
    <t>Sum of Spent</t>
  </si>
  <si>
    <t>Sum of Budget</t>
  </si>
  <si>
    <t>Category</t>
  </si>
  <si>
    <t>Amount spent</t>
  </si>
  <si>
    <t>Sum of Spent Within Budget</t>
  </si>
  <si>
    <t>Sum of Excess Amount</t>
  </si>
  <si>
    <t>This Month's Progress</t>
  </si>
  <si>
    <t xml:space="preserve"> </t>
  </si>
  <si>
    <t>Challenge 1: Spending under your budget</t>
  </si>
  <si>
    <t>Challenge 2: Spending under $50 in shopping</t>
  </si>
  <si>
    <t>Challenge 3: Spending under $25 in entertainment</t>
  </si>
  <si>
    <t>Challenge 4: Spending under $100 in groceries</t>
  </si>
  <si>
    <t>Click here at the end of every month to get points!</t>
  </si>
  <si>
    <t>Sweet Budgeting Tips</t>
  </si>
  <si>
    <t>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</si>
</sst>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
    <numFmt numFmtId="165" formatCode="[$-F800]dddd\,\ mmmm\ dd\,\ yyyy"/>
    <numFmt numFmtId="166" formatCode="[$-1009]mmmm\ d\,\ yyyy;@"/>
  </numFmts>
  <fonts count="29" x14ac:knownFonts="1">
    <font>
      <sz val="11"/>
      <color theme="1"/>
      <name val="Calibri"/>
      <family val="2"/>
      <scheme val="minor"/>
    </font>
    <font>
      <sz val="72"/>
      <color theme="1"/>
      <name val="Barlow Semi Condensed SemiBold"/>
      <family val="3"/>
    </font>
    <font>
      <sz val="18"/>
      <color theme="1"/>
      <name val="Barlow Black"/>
      <family val="3"/>
    </font>
    <font>
      <sz val="12"/>
      <color theme="1"/>
      <name val="Barlow SemiBold"/>
      <family val="3"/>
    </font>
    <font>
      <sz val="16"/>
      <color theme="1"/>
      <name val="Barlow Condensed SemiBold"/>
      <family val="3"/>
    </font>
    <font>
      <b/>
      <sz val="16"/>
      <color theme="1"/>
      <name val="Barlow Condensed SemiBold"/>
      <family val="3"/>
    </font>
    <font>
      <b/>
      <sz val="14"/>
      <color theme="1"/>
      <name val="Barlow ExtraBold"/>
      <family val="3"/>
    </font>
    <font>
      <sz val="12"/>
      <color theme="1"/>
      <name val="Barlow Black"/>
      <family val="3"/>
    </font>
    <font>
      <sz val="16"/>
      <color theme="1"/>
      <name val="Barlow Black"/>
      <family val="3"/>
    </font>
    <font>
      <sz val="14"/>
      <color theme="1"/>
      <name val="Barlow Condensed Medium"/>
      <family val="3"/>
    </font>
    <font>
      <sz val="14"/>
      <color theme="1"/>
      <name val="Barlow Condensed SemiBold"/>
      <family val="3"/>
    </font>
    <font>
      <i/>
      <sz val="11"/>
      <color rgb="FF7F7F7F"/>
      <name val="Calibri"/>
      <family val="2"/>
      <scheme val="minor"/>
    </font>
    <font>
      <sz val="11"/>
      <color theme="1"/>
      <name val="Barlow Condensed SemiBold"/>
      <family val="3"/>
    </font>
    <font>
      <sz val="11"/>
      <color theme="1"/>
      <name val="Barlow Black"/>
      <family val="3"/>
    </font>
    <font>
      <sz val="14"/>
      <color theme="1"/>
      <name val="Barlow Black"/>
      <family val="3"/>
    </font>
    <font>
      <sz val="11"/>
      <color theme="1"/>
      <name val="Barlow"/>
      <family val="3"/>
    </font>
    <font>
      <sz val="11"/>
      <color theme="1"/>
      <name val="Barlow Semi Condensed ExtraBold"/>
      <family val="3"/>
    </font>
    <font>
      <sz val="11"/>
      <color rgb="FFFBE9B7"/>
      <name val="Calibri"/>
      <family val="2"/>
      <scheme val="minor"/>
    </font>
    <font>
      <sz val="11"/>
      <color rgb="FFFDF5DF"/>
      <name val="Calibri"/>
      <family val="2"/>
      <scheme val="minor"/>
    </font>
    <font>
      <sz val="72"/>
      <color theme="1"/>
      <name val="Barlow Semi Condensed Black"/>
      <family val="3"/>
    </font>
    <font>
      <sz val="20"/>
      <color theme="1"/>
      <name val="Barlow Semi Condensed ExtraBold"/>
      <family val="3"/>
    </font>
    <font>
      <sz val="12"/>
      <color theme="1"/>
      <name val="Barlow ExtraBold"/>
      <family val="3"/>
    </font>
    <font>
      <b/>
      <sz val="11"/>
      <color theme="0"/>
      <name val="Calibri"/>
      <family val="2"/>
      <scheme val="minor"/>
    </font>
    <font>
      <sz val="11"/>
      <color theme="0"/>
      <name val="Calibri"/>
      <family val="2"/>
      <scheme val="minor"/>
    </font>
    <font>
      <b/>
      <sz val="12"/>
      <color theme="0"/>
      <name val="Calibri"/>
      <family val="2"/>
      <scheme val="minor"/>
    </font>
    <font>
      <sz val="11"/>
      <color theme="1"/>
      <name val="Barlow Condensed Medium"/>
      <family val="3"/>
    </font>
    <font>
      <sz val="72"/>
      <color theme="1"/>
      <name val="Barlow Condensed SemiBold"/>
      <family val="3"/>
    </font>
    <font>
      <sz val="11"/>
      <color theme="1"/>
      <name val="Barlow Semi Condensed SemiBold"/>
      <family val="3"/>
    </font>
    <font>
      <sz val="20"/>
      <color theme="1"/>
      <name val="Barlow ExtraBold"/>
      <family val="3"/>
    </font>
  </fonts>
  <fills count="7">
    <fill>
      <patternFill patternType="none"/>
    </fill>
    <fill>
      <patternFill patternType="gray125"/>
    </fill>
    <fill>
      <patternFill patternType="solid">
        <fgColor rgb="FFFBE9B7"/>
        <bgColor indexed="64"/>
      </patternFill>
    </fill>
    <fill>
      <patternFill patternType="solid">
        <fgColor rgb="FFFDF5DF"/>
        <bgColor indexed="64"/>
      </patternFill>
    </fill>
    <fill>
      <patternFill patternType="solid">
        <fgColor rgb="FFFFFFCC"/>
      </patternFill>
    </fill>
    <fill>
      <patternFill patternType="solid">
        <fgColor rgb="FFF7D36F"/>
        <bgColor indexed="64"/>
      </patternFill>
    </fill>
    <fill>
      <patternFill patternType="solid">
        <fgColor theme="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theme="7" tint="-0.249977111117893"/>
      </left>
      <right style="thin">
        <color theme="7" tint="-0.249977111117893"/>
      </right>
      <top style="thin">
        <color theme="7" tint="-0.249977111117893"/>
      </top>
      <bottom style="thin">
        <color theme="7" tint="-0.249977111117893"/>
      </bottom>
      <diagonal/>
    </border>
    <border>
      <left style="thin">
        <color rgb="FFB2B2B2"/>
      </left>
      <right style="thin">
        <color rgb="FFB2B2B2"/>
      </right>
      <top style="thin">
        <color rgb="FFB2B2B2"/>
      </top>
      <bottom style="thin">
        <color rgb="FFB2B2B2"/>
      </bottom>
      <diagonal/>
    </border>
    <border>
      <left style="thin">
        <color theme="6"/>
      </left>
      <right style="thin">
        <color theme="6"/>
      </right>
      <top style="thin">
        <color theme="6"/>
      </top>
      <bottom style="thin">
        <color theme="6"/>
      </bottom>
      <diagonal/>
    </border>
  </borders>
  <cellStyleXfs count="1">
    <xf numFmtId="0" fontId="0" fillId="0" borderId="0"/>
  </cellStyleXfs>
  <cellXfs count="59">
    <xf numFmtId="0" fontId="0" fillId="0" borderId="0" xfId="0"/>
    <xf numFmtId="0" fontId="0" fillId="2" borderId="0" xfId="0" applyFill="1"/>
    <xf numFmtId="0" fontId="1" fillId="2" borderId="0" xfId="0" applyFont="1" applyFill="1"/>
    <xf numFmtId="0" fontId="2" fillId="3" borderId="1" xfId="0" applyFont="1" applyFill="1" applyBorder="1"/>
    <xf numFmtId="0" fontId="3" fillId="3" borderId="1" xfId="0" applyFont="1" applyFill="1" applyBorder="1"/>
    <xf numFmtId="0" fontId="2" fillId="3" borderId="2" xfId="0" applyFont="1" applyFill="1" applyBorder="1"/>
    <xf numFmtId="0" fontId="2" fillId="2" borderId="0" xfId="0" applyFont="1" applyFill="1"/>
    <xf numFmtId="164" fontId="0" fillId="3" borderId="2" xfId="0" applyNumberFormat="1" applyFill="1" applyBorder="1"/>
    <xf numFmtId="0" fontId="5" fillId="2" borderId="0" xfId="0" applyFont="1" applyFill="1"/>
    <xf numFmtId="164" fontId="4" fillId="2" borderId="0" xfId="0" applyNumberFormat="1" applyFont="1" applyFill="1" applyAlignment="1">
      <alignment horizontal="left"/>
    </xf>
    <xf numFmtId="0" fontId="6" fillId="3" borderId="3" xfId="0" applyFont="1" applyFill="1" applyBorder="1"/>
    <xf numFmtId="0" fontId="0" fillId="3" borderId="3" xfId="0" applyFill="1" applyBorder="1"/>
    <xf numFmtId="164" fontId="0" fillId="2" borderId="0" xfId="0" applyNumberFormat="1" applyFill="1"/>
    <xf numFmtId="164" fontId="6" fillId="3" borderId="3" xfId="0" applyNumberFormat="1" applyFont="1" applyFill="1" applyBorder="1"/>
    <xf numFmtId="164" fontId="0" fillId="3" borderId="3" xfId="0" applyNumberFormat="1" applyFill="1" applyBorder="1"/>
    <xf numFmtId="165" fontId="1" fillId="2" borderId="0" xfId="0" applyNumberFormat="1" applyFont="1" applyFill="1"/>
    <xf numFmtId="0" fontId="8" fillId="2" borderId="0" xfId="0" applyFont="1" applyFill="1"/>
    <xf numFmtId="0" fontId="9" fillId="2" borderId="0" xfId="0" applyFont="1" applyFill="1"/>
    <xf numFmtId="0" fontId="7" fillId="3" borderId="0" xfId="0" applyFont="1" applyFill="1"/>
    <xf numFmtId="164" fontId="10" fillId="2" borderId="0" xfId="0" applyNumberFormat="1" applyFont="1" applyFill="1" applyAlignment="1">
      <alignment horizontal="left"/>
    </xf>
    <xf numFmtId="164" fontId="12" fillId="3" borderId="3" xfId="0" applyNumberFormat="1" applyFont="1" applyFill="1" applyBorder="1"/>
    <xf numFmtId="0" fontId="12" fillId="3" borderId="3" xfId="0" applyFont="1" applyFill="1" applyBorder="1"/>
    <xf numFmtId="164" fontId="14" fillId="2" borderId="0" xfId="0" applyNumberFormat="1" applyFont="1" applyFill="1"/>
    <xf numFmtId="0" fontId="13" fillId="3" borderId="0" xfId="0" applyFont="1" applyFill="1"/>
    <xf numFmtId="164" fontId="15" fillId="3" borderId="0" xfId="0" applyNumberFormat="1" applyFont="1" applyFill="1"/>
    <xf numFmtId="0" fontId="16" fillId="5" borderId="0" xfId="0" applyFont="1" applyFill="1"/>
    <xf numFmtId="164" fontId="16" fillId="5" borderId="0" xfId="0" applyNumberFormat="1" applyFont="1" applyFill="1"/>
    <xf numFmtId="0" fontId="11" fillId="4" borderId="4" xfId="0" applyFont="1" applyFill="1" applyBorder="1"/>
    <xf numFmtId="0" fontId="11" fillId="4" borderId="4" xfId="0" applyFont="1" applyFill="1" applyBorder="1" applyAlignment="1">
      <alignment horizontal="left"/>
    </xf>
    <xf numFmtId="166" fontId="6" fillId="3" borderId="3" xfId="0" applyNumberFormat="1" applyFont="1" applyFill="1" applyBorder="1"/>
    <xf numFmtId="166" fontId="12" fillId="3" borderId="3" xfId="0" applyNumberFormat="1" applyFont="1" applyFill="1" applyBorder="1"/>
    <xf numFmtId="166" fontId="0" fillId="3" borderId="3" xfId="0" applyNumberFormat="1" applyFill="1" applyBorder="1"/>
    <xf numFmtId="166" fontId="0" fillId="2" borderId="0" xfId="0" applyNumberFormat="1" applyFill="1"/>
    <xf numFmtId="14" fontId="12" fillId="3" borderId="3" xfId="0" applyNumberFormat="1" applyFont="1" applyFill="1" applyBorder="1"/>
    <xf numFmtId="0" fontId="17" fillId="2" borderId="0" xfId="0" applyFont="1" applyFill="1"/>
    <xf numFmtId="0" fontId="18" fillId="2" borderId="0" xfId="0" applyFont="1" applyFill="1"/>
    <xf numFmtId="0" fontId="19" fillId="2" borderId="0" xfId="0" applyFont="1" applyFill="1"/>
    <xf numFmtId="0" fontId="20" fillId="2" borderId="0" xfId="0" applyFont="1" applyFill="1"/>
    <xf numFmtId="0" fontId="21" fillId="2" borderId="0" xfId="0" applyFont="1" applyFill="1"/>
    <xf numFmtId="0" fontId="0" fillId="0" borderId="5" xfId="0" applyBorder="1"/>
    <xf numFmtId="0" fontId="24" fillId="6" borderId="5" xfId="0" applyFont="1" applyFill="1" applyBorder="1"/>
    <xf numFmtId="0" fontId="22" fillId="6" borderId="5" xfId="0" applyFont="1" applyFill="1" applyBorder="1"/>
    <xf numFmtId="0" fontId="22" fillId="0" borderId="5" xfId="0" applyFont="1" applyBorder="1"/>
    <xf numFmtId="0" fontId="23" fillId="0" borderId="5" xfId="0" applyFont="1" applyBorder="1"/>
    <xf numFmtId="0" fontId="0" fillId="0" borderId="5" xfId="0" pivotButton="1" applyBorder="1"/>
    <xf numFmtId="0" fontId="0" fillId="0" borderId="5" xfId="0" applyBorder="1" applyAlignment="1">
      <alignment horizontal="left"/>
    </xf>
    <xf numFmtId="0" fontId="26" fillId="2" borderId="0" xfId="0" applyFont="1" applyFill="1"/>
    <xf numFmtId="14" fontId="25" fillId="3" borderId="3" xfId="0" applyNumberFormat="1" applyFont="1" applyFill="1" applyBorder="1"/>
    <xf numFmtId="164" fontId="25" fillId="3" borderId="3" xfId="0" applyNumberFormat="1" applyFont="1" applyFill="1" applyBorder="1"/>
    <xf numFmtId="0" fontId="25" fillId="3" borderId="3" xfId="0" applyFont="1" applyFill="1" applyBorder="1"/>
    <xf numFmtId="14" fontId="27" fillId="3" borderId="3" xfId="0" applyNumberFormat="1" applyFont="1" applyFill="1" applyBorder="1"/>
    <xf numFmtId="164" fontId="27" fillId="3" borderId="3" xfId="0" applyNumberFormat="1" applyFont="1" applyFill="1" applyBorder="1"/>
    <xf numFmtId="0" fontId="27" fillId="3" borderId="3" xfId="0" applyFont="1" applyFill="1" applyBorder="1"/>
    <xf numFmtId="14" fontId="27" fillId="3" borderId="3" xfId="0" applyNumberFormat="1" applyFont="1" applyFill="1" applyBorder="1" applyAlignment="1">
      <alignment horizontal="right"/>
    </xf>
    <xf numFmtId="0" fontId="0" fillId="2" borderId="0" xfId="0" applyFill="1" applyAlignment="1">
      <alignment wrapText="1"/>
    </xf>
    <xf numFmtId="0" fontId="28" fillId="2" borderId="0" xfId="0" applyFont="1" applyFill="1"/>
    <xf numFmtId="0" fontId="3" fillId="2" borderId="0" xfId="0" applyFont="1" applyFill="1"/>
    <xf numFmtId="0" fontId="0" fillId="0" borderId="5" xfId="0" applyNumberFormat="1" applyBorder="1"/>
    <xf numFmtId="0" fontId="11" fillId="4" borderId="4" xfId="0" applyNumberFormat="1" applyFont="1" applyFill="1" applyBorder="1"/>
  </cellXfs>
  <cellStyles count="1">
    <cellStyle name="Normal" xfId="0" builtinId="0"/>
  </cellStyles>
  <dxfs count="57">
    <dxf>
      <font>
        <b val="0"/>
        <i val="0"/>
        <strike val="0"/>
        <condense val="0"/>
        <extend val="0"/>
        <outline val="0"/>
        <shadow val="0"/>
        <u val="none"/>
        <vertAlign val="baseline"/>
        <sz val="11"/>
        <color rgb="FF9C5700"/>
        <name val="Calibri"/>
        <family val="2"/>
        <scheme val="minor"/>
      </font>
      <fill>
        <patternFill patternType="solid">
          <fgColor indexed="65"/>
          <bgColor rgb="FFFFEB9C"/>
        </patternFill>
      </fill>
    </dxf>
    <dxf>
      <font>
        <b val="0"/>
        <i val="0"/>
        <strike val="0"/>
        <condense val="0"/>
        <extend val="0"/>
        <outline val="0"/>
        <shadow val="0"/>
        <u val="none"/>
        <vertAlign val="baseline"/>
        <sz val="11"/>
        <color rgb="FF9C5700"/>
        <name val="Calibri"/>
        <family val="2"/>
        <scheme val="minor"/>
      </font>
      <fill>
        <patternFill patternType="solid">
          <fgColor indexed="65"/>
          <bgColor rgb="FFFFEB9C"/>
        </patternFill>
      </fill>
    </dxf>
    <dxf>
      <font>
        <b val="0"/>
        <i val="0"/>
        <strike val="0"/>
        <condense val="0"/>
        <extend val="0"/>
        <outline val="0"/>
        <shadow val="0"/>
        <u val="none"/>
        <vertAlign val="baseline"/>
        <sz val="11"/>
        <color rgb="FF9C5700"/>
        <name val="Calibri"/>
        <family val="2"/>
        <scheme val="minor"/>
      </font>
      <fill>
        <patternFill patternType="solid">
          <fgColor indexed="65"/>
          <bgColor rgb="FFFFEB9C"/>
        </patternFill>
      </fill>
    </dxf>
    <dxf>
      <font>
        <b val="0"/>
        <i val="0"/>
        <strike val="0"/>
        <condense val="0"/>
        <extend val="0"/>
        <outline val="0"/>
        <shadow val="0"/>
        <u val="none"/>
        <vertAlign val="baseline"/>
        <sz val="11"/>
        <color rgb="FF9C5700"/>
        <name val="Calibri"/>
        <family val="2"/>
        <scheme val="minor"/>
      </font>
      <fill>
        <patternFill patternType="solid">
          <fgColor indexed="65"/>
          <bgColor rgb="FFFFEB9C"/>
        </patternFill>
      </fill>
    </dxf>
    <dxf>
      <font>
        <b val="0"/>
        <i val="0"/>
        <strike val="0"/>
        <condense val="0"/>
        <extend val="0"/>
        <outline val="0"/>
        <shadow val="0"/>
        <u val="none"/>
        <vertAlign val="baseline"/>
        <sz val="11"/>
        <color rgb="FF9C5700"/>
        <name val="Calibri"/>
        <family val="2"/>
        <scheme val="minor"/>
      </font>
      <fill>
        <patternFill patternType="solid">
          <fgColor indexed="65"/>
          <bgColor rgb="FFFFEB9C"/>
        </patternFill>
      </fill>
    </dxf>
    <dxf>
      <font>
        <b val="0"/>
        <i val="0"/>
        <strike val="0"/>
        <condense val="0"/>
        <extend val="0"/>
        <outline val="0"/>
        <shadow val="0"/>
        <u val="none"/>
        <vertAlign val="baseline"/>
        <sz val="11"/>
        <color rgb="FF9C5700"/>
        <name val="Calibri"/>
        <family val="2"/>
        <scheme val="minor"/>
      </font>
      <fill>
        <patternFill patternType="solid">
          <fgColor indexed="65"/>
          <bgColor rgb="FFFFEB9C"/>
        </patternFill>
      </fill>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ont>
        <b val="0"/>
        <i/>
        <strike val="0"/>
        <condense val="0"/>
        <extend val="0"/>
        <outline val="0"/>
        <shadow val="0"/>
        <u val="none"/>
        <vertAlign val="baseline"/>
        <sz val="11"/>
        <color rgb="FF7F7F7F"/>
        <name val="Calibri"/>
        <family val="2"/>
        <scheme val="minor"/>
      </font>
    </dxf>
    <dxf>
      <font>
        <b val="0"/>
        <i/>
        <strike val="0"/>
        <condense val="0"/>
        <extend val="0"/>
        <outline val="0"/>
        <shadow val="0"/>
        <u val="none"/>
        <vertAlign val="baseline"/>
        <sz val="11"/>
        <color rgb="FF7F7F7F"/>
        <name val="Calibri"/>
        <family val="2"/>
        <scheme val="minor"/>
      </font>
    </dxf>
    <dxf>
      <font>
        <b val="0"/>
        <i/>
        <strike val="0"/>
        <condense val="0"/>
        <extend val="0"/>
        <outline val="0"/>
        <shadow val="0"/>
        <u val="none"/>
        <vertAlign val="baseline"/>
        <sz val="11"/>
        <color rgb="FF7F7F7F"/>
        <name val="Calibri"/>
        <family val="2"/>
        <scheme val="minor"/>
      </font>
    </dxf>
    <dxf>
      <font>
        <b val="0"/>
        <i/>
        <strike val="0"/>
        <condense val="0"/>
        <extend val="0"/>
        <outline val="0"/>
        <shadow val="0"/>
        <u val="none"/>
        <vertAlign val="baseline"/>
        <sz val="11"/>
        <color rgb="FF7F7F7F"/>
        <name val="Calibri"/>
        <family val="2"/>
        <scheme val="minor"/>
      </font>
    </dxf>
    <dxf>
      <font>
        <b val="0"/>
        <i/>
        <strike val="0"/>
        <condense val="0"/>
        <extend val="0"/>
        <outline val="0"/>
        <shadow val="0"/>
        <u val="none"/>
        <vertAlign val="baseline"/>
        <sz val="11"/>
        <color rgb="FF7F7F7F"/>
        <name val="Calibri"/>
        <family val="2"/>
        <scheme val="minor"/>
      </font>
    </dxf>
    <dxf>
      <font>
        <b val="0"/>
        <i/>
        <strike val="0"/>
        <condense val="0"/>
        <extend val="0"/>
        <outline val="0"/>
        <shadow val="0"/>
        <u val="none"/>
        <vertAlign val="baseline"/>
        <sz val="11"/>
        <color rgb="FF7F7F7F"/>
        <name val="Calibri"/>
        <family val="2"/>
        <scheme val="minor"/>
      </font>
    </dxf>
    <dxf>
      <border>
        <left style="thin">
          <color theme="6"/>
        </left>
        <right style="thin">
          <color theme="6"/>
        </right>
        <top style="thin">
          <color theme="6"/>
        </top>
        <bottom style="thin">
          <color theme="6"/>
        </bottom>
        <vertical style="thin">
          <color theme="6"/>
        </vertical>
        <horizontal style="thin">
          <color theme="6"/>
        </horizontal>
      </border>
    </dxf>
    <dxf>
      <border>
        <left style="thin">
          <color theme="6"/>
        </left>
        <right style="thin">
          <color theme="6"/>
        </right>
        <top style="thin">
          <color theme="6"/>
        </top>
        <bottom style="thin">
          <color theme="6"/>
        </bottom>
        <vertical style="thin">
          <color theme="6"/>
        </vertical>
        <horizontal style="thin">
          <color theme="6"/>
        </horizontal>
      </border>
    </dxf>
    <dxf>
      <border>
        <left style="thin">
          <color theme="6"/>
        </left>
        <right style="thin">
          <color theme="6"/>
        </right>
        <top style="thin">
          <color theme="6"/>
        </top>
        <bottom style="thin">
          <color theme="6"/>
        </bottom>
        <vertical style="thin">
          <color theme="6"/>
        </vertical>
        <horizontal style="thin">
          <color theme="6"/>
        </horizontal>
      </border>
    </dxf>
    <dxf>
      <border>
        <left style="thin">
          <color theme="6"/>
        </left>
        <right style="thin">
          <color theme="6"/>
        </right>
        <top style="thin">
          <color theme="6"/>
        </top>
        <bottom style="thin">
          <color theme="6"/>
        </bottom>
        <vertical style="thin">
          <color theme="6"/>
        </vertical>
        <horizontal style="thin">
          <color theme="6"/>
        </horizontal>
      </border>
    </dxf>
    <dxf>
      <border>
        <left style="thin">
          <color theme="6"/>
        </left>
        <right style="thin">
          <color theme="6"/>
        </right>
        <top style="thin">
          <color theme="6"/>
        </top>
        <bottom style="thin">
          <color theme="6"/>
        </bottom>
        <vertical style="thin">
          <color theme="6"/>
        </vertical>
        <horizontal style="thin">
          <color theme="6"/>
        </horizontal>
      </border>
    </dxf>
    <dxf>
      <border>
        <left style="thin">
          <color theme="6"/>
        </left>
        <right style="thin">
          <color theme="6"/>
        </right>
        <top style="thin">
          <color theme="6"/>
        </top>
        <bottom style="thin">
          <color theme="6"/>
        </bottom>
        <vertical style="thin">
          <color theme="6"/>
        </vertical>
        <horizontal style="thin">
          <color theme="6"/>
        </horizontal>
      </border>
    </dxf>
    <dxf>
      <border>
        <left style="thin">
          <color theme="6"/>
        </left>
        <right style="thin">
          <color theme="6"/>
        </right>
        <top style="thin">
          <color theme="6"/>
        </top>
        <bottom style="thin">
          <color theme="6"/>
        </bottom>
        <vertical style="thin">
          <color theme="6"/>
        </vertical>
        <horizontal style="thin">
          <color theme="6"/>
        </horizontal>
      </border>
    </dxf>
    <dxf>
      <border>
        <left style="thin">
          <color theme="6"/>
        </left>
        <right style="thin">
          <color theme="6"/>
        </right>
        <top style="thin">
          <color theme="6"/>
        </top>
        <bottom style="thin">
          <color theme="6"/>
        </bottom>
        <vertical style="thin">
          <color theme="6"/>
        </vertical>
        <horizontal style="thin">
          <color theme="6"/>
        </horizontal>
      </border>
    </dxf>
    <dxf>
      <border>
        <left style="thin">
          <color theme="6"/>
        </left>
        <right style="thin">
          <color theme="6"/>
        </right>
        <top style="thin">
          <color theme="6"/>
        </top>
        <bottom style="thin">
          <color theme="6"/>
        </bottom>
        <vertical style="thin">
          <color theme="6"/>
        </vertical>
        <horizontal style="thin">
          <color theme="6"/>
        </horizontal>
      </border>
    </dxf>
    <dxf>
      <border>
        <left style="thin">
          <color theme="6"/>
        </left>
        <right style="thin">
          <color theme="6"/>
        </right>
        <top style="thin">
          <color theme="6"/>
        </top>
        <bottom style="thin">
          <color theme="6"/>
        </bottom>
        <vertical style="thin">
          <color theme="6"/>
        </vertical>
        <horizontal style="thin">
          <color theme="6"/>
        </horizontal>
      </border>
    </dxf>
    <dxf>
      <border>
        <left style="thin">
          <color theme="6"/>
        </left>
        <right style="thin">
          <color theme="6"/>
        </right>
        <top style="thin">
          <color theme="6"/>
        </top>
        <bottom style="thin">
          <color theme="6"/>
        </bottom>
        <vertical style="thin">
          <color theme="6"/>
        </vertical>
        <horizontal style="thin">
          <color theme="6"/>
        </horizontal>
      </border>
    </dxf>
    <dxf>
      <border>
        <left style="thin">
          <color theme="6"/>
        </left>
        <right style="thin">
          <color theme="6"/>
        </right>
        <top style="thin">
          <color theme="6"/>
        </top>
        <bottom style="thin">
          <color theme="6"/>
        </bottom>
        <vertical style="thin">
          <color theme="6"/>
        </vertical>
        <horizontal style="thin">
          <color theme="6"/>
        </horizontal>
      </border>
    </dxf>
    <dxf>
      <border>
        <left style="thin">
          <color theme="6"/>
        </left>
        <right style="thin">
          <color theme="6"/>
        </right>
        <top style="thin">
          <color theme="6"/>
        </top>
        <bottom style="thin">
          <color theme="6"/>
        </bottom>
        <vertical style="thin">
          <color theme="6"/>
        </vertical>
        <horizontal style="thin">
          <color theme="6"/>
        </horizontal>
      </border>
    </dxf>
    <dxf>
      <border>
        <left style="thin">
          <color theme="6"/>
        </left>
        <right style="thin">
          <color theme="6"/>
        </right>
        <top style="thin">
          <color theme="6"/>
        </top>
        <bottom style="thin">
          <color theme="6"/>
        </bottom>
        <vertical style="thin">
          <color theme="6"/>
        </vertical>
        <horizontal style="thin">
          <color theme="6"/>
        </horizontal>
      </border>
    </dxf>
    <dxf>
      <border>
        <left style="thin">
          <color theme="6"/>
        </left>
        <right style="thin">
          <color theme="6"/>
        </right>
        <top style="thin">
          <color theme="6"/>
        </top>
        <bottom style="thin">
          <color theme="6"/>
        </bottom>
        <vertical style="thin">
          <color theme="6"/>
        </vertical>
        <horizontal style="thin">
          <color theme="6"/>
        </horizontal>
      </border>
    </dxf>
    <dxf>
      <font>
        <color theme="0"/>
      </font>
    </dxf>
    <dxf>
      <font>
        <color theme="0"/>
      </font>
    </dxf>
    <dxf>
      <font>
        <color theme="0"/>
      </font>
    </dxf>
    <dxf>
      <font>
        <color auto="1"/>
      </font>
      <fill>
        <patternFill patternType="solid">
          <fgColor theme="9" tint="0.39994506668294322"/>
        </patternFill>
      </fill>
    </dxf>
    <dxf>
      <fill>
        <patternFill>
          <bgColor theme="5" tint="0.39994506668294322"/>
        </patternFill>
      </fill>
    </dxf>
    <dxf>
      <fill>
        <patternFill>
          <bgColor theme="9" tint="0.59996337778862885"/>
        </patternFill>
      </fill>
    </dxf>
    <dxf>
      <font>
        <b val="0"/>
        <i/>
        <strike val="0"/>
        <condense val="0"/>
        <extend val="0"/>
        <outline val="0"/>
        <shadow val="0"/>
        <u val="none"/>
        <vertAlign val="baseline"/>
        <sz val="11"/>
        <color rgb="FF7F7F7F"/>
        <name val="Calibri"/>
        <family val="2"/>
        <scheme val="minor"/>
      </font>
    </dxf>
    <dxf>
      <font>
        <b val="0"/>
        <i/>
        <strike val="0"/>
        <condense val="0"/>
        <extend val="0"/>
        <outline val="0"/>
        <shadow val="0"/>
        <u val="none"/>
        <vertAlign val="baseline"/>
        <sz val="11"/>
        <color rgb="FF7F7F7F"/>
        <name val="Calibri"/>
        <family val="2"/>
        <scheme val="minor"/>
      </font>
    </dxf>
    <dxf>
      <font>
        <b val="0"/>
        <i/>
        <strike val="0"/>
        <condense val="0"/>
        <extend val="0"/>
        <outline val="0"/>
        <shadow val="0"/>
        <u val="none"/>
        <vertAlign val="baseline"/>
        <sz val="11"/>
        <color rgb="FF7F7F7F"/>
        <name val="Calibri"/>
        <family val="2"/>
        <scheme val="minor"/>
      </font>
    </dxf>
    <dxf>
      <font>
        <b val="0"/>
        <i/>
        <strike val="0"/>
        <condense val="0"/>
        <extend val="0"/>
        <outline val="0"/>
        <shadow val="0"/>
        <u val="none"/>
        <vertAlign val="baseline"/>
        <sz val="11"/>
        <color rgb="FF7F7F7F"/>
        <name val="Calibri"/>
        <family val="2"/>
        <scheme val="minor"/>
      </font>
    </dxf>
    <dxf>
      <font>
        <b val="0"/>
        <i/>
        <strike val="0"/>
        <condense val="0"/>
        <extend val="0"/>
        <outline val="0"/>
        <shadow val="0"/>
        <u val="none"/>
        <vertAlign val="baseline"/>
        <sz val="11"/>
        <color rgb="FF7F7F7F"/>
        <name val="Calibri"/>
        <family val="2"/>
        <scheme val="minor"/>
      </font>
    </dxf>
    <dxf>
      <font>
        <b val="0"/>
        <i/>
        <strike val="0"/>
        <condense val="0"/>
        <extend val="0"/>
        <outline val="0"/>
        <shadow val="0"/>
        <u val="none"/>
        <vertAlign val="baseline"/>
        <sz val="11"/>
        <color rgb="FF7F7F7F"/>
        <name val="Calibri"/>
        <family val="2"/>
        <scheme val="minor"/>
      </font>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ill>
        <patternFill patternType="solid">
          <fgColor indexed="65"/>
          <bgColor rgb="FFFFFFCC"/>
        </patternFill>
      </fill>
      <border diagonalUp="0" diagonalDown="0" outline="0">
        <left style="thin">
          <color rgb="FFB2B2B2"/>
        </left>
        <right style="thin">
          <color rgb="FFB2B2B2"/>
        </right>
        <top style="thin">
          <color rgb="FFB2B2B2"/>
        </top>
        <bottom style="thin">
          <color rgb="FFB2B2B2"/>
        </bottom>
      </border>
    </dxf>
    <dxf>
      <font>
        <b val="0"/>
        <i val="0"/>
        <strike val="0"/>
        <condense val="0"/>
        <extend val="0"/>
        <outline val="0"/>
        <shadow val="0"/>
        <u val="none"/>
        <vertAlign val="baseline"/>
        <sz val="11"/>
        <color rgb="FF9C5700"/>
        <name val="Calibri"/>
        <family val="2"/>
        <scheme val="minor"/>
      </font>
      <fill>
        <patternFill patternType="solid">
          <fgColor indexed="65"/>
          <bgColor rgb="FFFFEB9C"/>
        </patternFill>
      </fill>
    </dxf>
    <dxf>
      <font>
        <b val="0"/>
        <i val="0"/>
        <strike val="0"/>
        <condense val="0"/>
        <extend val="0"/>
        <outline val="0"/>
        <shadow val="0"/>
        <u val="none"/>
        <vertAlign val="baseline"/>
        <sz val="11"/>
        <color rgb="FF9C5700"/>
        <name val="Calibri"/>
        <family val="2"/>
        <scheme val="minor"/>
      </font>
      <fill>
        <patternFill patternType="solid">
          <fgColor indexed="65"/>
          <bgColor rgb="FFFFEB9C"/>
        </patternFill>
      </fill>
    </dxf>
    <dxf>
      <font>
        <b val="0"/>
        <i val="0"/>
        <strike val="0"/>
        <condense val="0"/>
        <extend val="0"/>
        <outline val="0"/>
        <shadow val="0"/>
        <u val="none"/>
        <vertAlign val="baseline"/>
        <sz val="11"/>
        <color rgb="FF9C5700"/>
        <name val="Calibri"/>
        <family val="2"/>
        <scheme val="minor"/>
      </font>
      <fill>
        <patternFill patternType="solid">
          <fgColor indexed="65"/>
          <bgColor rgb="FFFFEB9C"/>
        </patternFill>
      </fill>
    </dxf>
    <dxf>
      <font>
        <b val="0"/>
        <i val="0"/>
        <strike val="0"/>
        <condense val="0"/>
        <extend val="0"/>
        <outline val="0"/>
        <shadow val="0"/>
        <u val="none"/>
        <vertAlign val="baseline"/>
        <sz val="11"/>
        <color rgb="FF9C5700"/>
        <name val="Calibri"/>
        <family val="2"/>
        <scheme val="minor"/>
      </font>
      <fill>
        <patternFill patternType="solid">
          <fgColor indexed="65"/>
          <bgColor rgb="FFFFEB9C"/>
        </patternFill>
      </fill>
    </dxf>
    <dxf>
      <font>
        <b val="0"/>
        <i val="0"/>
        <strike val="0"/>
        <condense val="0"/>
        <extend val="0"/>
        <outline val="0"/>
        <shadow val="0"/>
        <u val="none"/>
        <vertAlign val="baseline"/>
        <sz val="11"/>
        <color rgb="FF9C5700"/>
        <name val="Calibri"/>
        <family val="2"/>
        <scheme val="minor"/>
      </font>
      <fill>
        <patternFill patternType="solid">
          <fgColor indexed="65"/>
          <bgColor rgb="FFFFEB9C"/>
        </patternFill>
      </fill>
    </dxf>
    <dxf>
      <font>
        <b val="0"/>
        <i val="0"/>
        <strike val="0"/>
        <condense val="0"/>
        <extend val="0"/>
        <outline val="0"/>
        <shadow val="0"/>
        <u val="none"/>
        <vertAlign val="baseline"/>
        <sz val="11"/>
        <color rgb="FF9C5700"/>
        <name val="Calibri"/>
        <family val="2"/>
        <scheme val="minor"/>
      </font>
      <fill>
        <patternFill patternType="solid">
          <fgColor indexed="65"/>
          <bgColor rgb="FFFFEB9C"/>
        </patternFill>
      </fill>
    </dxf>
  </dxfs>
  <tableStyles count="0" defaultTableStyle="TableStyleMedium2" defaultPivotStyle="PivotStyleLight16"/>
  <colors>
    <mruColors>
      <color rgb="FFFBE9B7"/>
      <color rgb="FFF3BF2D"/>
      <color rgb="FFFDF5DF"/>
      <color rgb="FFF7D36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[p3parmar_milestone4_financialplanningtool (1).xlsm]Calculation (Not for editing)!PivotTable2</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75000"/>
            </a:schemeClr>
          </a:solidFill>
          <a:ln>
            <a:solidFill>
              <a:schemeClr val="bg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3BF2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2">
              <a:lumMod val="75000"/>
            </a:schemeClr>
          </a:solidFill>
          <a:ln>
            <a:solidFill>
              <a:schemeClr val="bg2"/>
            </a:solidFill>
          </a:ln>
          <a:effectLst/>
        </c:spPr>
      </c:pivotFmt>
    </c:pivotFmts>
    <c:plotArea>
      <c:layout>
        <c:manualLayout>
          <c:layoutTarget val="inner"/>
          <c:xMode val="edge"/>
          <c:yMode val="edge"/>
          <c:x val="0.17942708411697333"/>
          <c:y val="0.13600462637526067"/>
          <c:w val="0.64362182852143479"/>
          <c:h val="0.75010279965004378"/>
        </c:manualLayout>
      </c:layout>
      <c:barChart>
        <c:barDir val="bar"/>
        <c:grouping val="percentStacked"/>
        <c:varyColors val="0"/>
        <c:ser>
          <c:idx val="0"/>
          <c:order val="0"/>
          <c:tx>
            <c:strRef>
              <c:f>'Calculation (Not for editing)'!$D$1</c:f>
              <c:strCache>
                <c:ptCount val="1"/>
                <c:pt idx="0">
                  <c:v>Sum of Spent</c:v>
                </c:pt>
              </c:strCache>
            </c:strRef>
          </c:tx>
          <c:spPr>
            <a:solidFill>
              <a:schemeClr val="bg2">
                <a:lumMod val="75000"/>
              </a:schemeClr>
            </a:solidFill>
            <a:ln>
              <a:solidFill>
                <a:schemeClr val="bg2"/>
              </a:solidFill>
            </a:ln>
            <a:effectLst/>
          </c:spPr>
          <c:invertIfNegative val="0"/>
          <c:cat>
            <c:strRef>
              <c:f>'Calculation (Not for editing)'!$D$2</c:f>
              <c:strCache>
                <c:ptCount val="1"/>
                <c:pt idx="0">
                  <c:v>Total</c:v>
                </c:pt>
              </c:strCache>
            </c:strRef>
          </c:cat>
          <c:val>
            <c:numRef>
              <c:f>'Calculation (Not for editing)'!$D$2</c:f>
              <c:numCache>
                <c:formatCode>General</c:formatCode>
                <c:ptCount val="1"/>
                <c:pt idx="0">
                  <c:v>260</c:v>
                </c:pt>
              </c:numCache>
            </c:numRef>
          </c:val>
          <c:extLst>
            <c:ext xmlns:c16="http://schemas.microsoft.com/office/drawing/2014/chart" uri="{C3380CC4-5D6E-409C-BE32-E72D297353CC}">
              <c16:uniqueId val="{00000000-EBC2-4965-855C-3BB9ECA8B684}"/>
            </c:ext>
          </c:extLst>
        </c:ser>
        <c:ser>
          <c:idx val="1"/>
          <c:order val="1"/>
          <c:tx>
            <c:strRef>
              <c:f>'Calculation (Not for editing)'!$E$1</c:f>
              <c:strCache>
                <c:ptCount val="1"/>
                <c:pt idx="0">
                  <c:v>Sum of Budget</c:v>
                </c:pt>
              </c:strCache>
            </c:strRef>
          </c:tx>
          <c:spPr>
            <a:solidFill>
              <a:srgbClr val="F3BF2D"/>
            </a:solidFill>
            <a:ln>
              <a:noFill/>
            </a:ln>
            <a:effectLst/>
          </c:spPr>
          <c:invertIfNegative val="0"/>
          <c:cat>
            <c:strRef>
              <c:f>'Calculation (Not for editing)'!$D$2</c:f>
              <c:strCache>
                <c:ptCount val="1"/>
                <c:pt idx="0">
                  <c:v>Total</c:v>
                </c:pt>
              </c:strCache>
            </c:strRef>
          </c:cat>
          <c:val>
            <c:numRef>
              <c:f>'Calculation (Not for editing)'!$E$2</c:f>
              <c:numCache>
                <c:formatCode>General</c:formatCode>
                <c:ptCount val="1"/>
                <c:pt idx="0">
                  <c:v>550</c:v>
                </c:pt>
              </c:numCache>
            </c:numRef>
          </c:val>
          <c:extLst>
            <c:ext xmlns:c16="http://schemas.microsoft.com/office/drawing/2014/chart" uri="{C3380CC4-5D6E-409C-BE32-E72D297353CC}">
              <c16:uniqueId val="{00000001-EBC2-4965-855C-3BB9ECA8B684}"/>
            </c:ext>
          </c:extLst>
        </c:ser>
        <c:dLbls>
          <c:showLegendKey val="0"/>
          <c:showVal val="0"/>
          <c:showCatName val="0"/>
          <c:showSerName val="0"/>
          <c:showPercent val="0"/>
          <c:showBubbleSize val="0"/>
        </c:dLbls>
        <c:gapWidth val="150"/>
        <c:overlap val="100"/>
        <c:axId val="161011455"/>
        <c:axId val="161001471"/>
      </c:barChart>
      <c:catAx>
        <c:axId val="1610114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001471"/>
        <c:crosses val="autoZero"/>
        <c:auto val="1"/>
        <c:lblAlgn val="ctr"/>
        <c:lblOffset val="100"/>
        <c:noMultiLvlLbl val="0"/>
      </c:catAx>
      <c:valAx>
        <c:axId val="161001471"/>
        <c:scaling>
          <c:orientation val="minMax"/>
        </c:scaling>
        <c:delete val="0"/>
        <c:axPos val="b"/>
        <c:majorGridlines>
          <c:spPr>
            <a:ln w="9525" cap="flat" cmpd="sng" algn="ctr">
              <a:solidFill>
                <a:schemeClr val="accent4">
                  <a:lumMod val="60000"/>
                  <a:lumOff val="4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01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BE9B7"/>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[p3parmar_milestone4_financialplanningtool (1).xlsm]Calculation (Not for editing)!PivotTable3</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3BF2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'Calculation (Not for editing)'!$O$1</c:f>
              <c:strCache>
                <c:ptCount val="1"/>
                <c:pt idx="0">
                  <c:v>Sum of Spent Within Budget</c:v>
                </c:pt>
              </c:strCache>
            </c:strRef>
          </c:tx>
          <c:spPr>
            <a:solidFill>
              <a:schemeClr val="bg2">
                <a:lumMod val="75000"/>
              </a:schemeClr>
            </a:solidFill>
            <a:ln>
              <a:noFill/>
            </a:ln>
            <a:effectLst/>
          </c:spPr>
          <c:invertIfNegative val="0"/>
          <c:cat>
            <c:strRef>
              <c:f>'Calculation (Not for editing)'!$N$2:$N$7</c:f>
              <c:strCache>
                <c:ptCount val="5"/>
                <c:pt idx="0">
                  <c:v>Bills</c:v>
                </c:pt>
                <c:pt idx="1">
                  <c:v>Entertainment</c:v>
                </c:pt>
                <c:pt idx="2">
                  <c:v>Grocery</c:v>
                </c:pt>
                <c:pt idx="3">
                  <c:v>School</c:v>
                </c:pt>
                <c:pt idx="4">
                  <c:v>Shopping</c:v>
                </c:pt>
              </c:strCache>
            </c:strRef>
          </c:cat>
          <c:val>
            <c:numRef>
              <c:f>'Calculation (Not for editing)'!$O$2:$O$7</c:f>
              <c:numCache>
                <c:formatCode>General</c:formatCode>
                <c:ptCount val="5"/>
                <c:pt idx="0">
                  <c:v>50</c:v>
                </c:pt>
                <c:pt idx="1">
                  <c:v>50</c:v>
                </c:pt>
                <c:pt idx="2">
                  <c:v>90</c:v>
                </c:pt>
                <c:pt idx="3">
                  <c:v>25</c:v>
                </c:pt>
                <c:pt idx="4">
                  <c:v>45</c:v>
                </c:pt>
              </c:numCache>
            </c:numRef>
          </c:val>
          <c:extLst>
            <c:ext xmlns:c16="http://schemas.microsoft.com/office/drawing/2014/chart" uri="{C3380CC4-5D6E-409C-BE32-E72D297353CC}">
              <c16:uniqueId val="{00000000-2506-4A34-90A0-001A7E267CAC}"/>
            </c:ext>
          </c:extLst>
        </c:ser>
        <c:ser>
          <c:idx val="1"/>
          <c:order val="1"/>
          <c:tx>
            <c:strRef>
              <c:f>'Calculation (Not for editing)'!$P$1</c:f>
              <c:strCache>
                <c:ptCount val="1"/>
                <c:pt idx="0">
                  <c:v>Sum of Excess Amount</c:v>
                </c:pt>
              </c:strCache>
            </c:strRef>
          </c:tx>
          <c:spPr>
            <a:solidFill>
              <a:srgbClr val="F3BF2D"/>
            </a:solidFill>
            <a:ln>
              <a:noFill/>
            </a:ln>
            <a:effectLst/>
          </c:spPr>
          <c:invertIfNegative val="0"/>
          <c:cat>
            <c:strRef>
              <c:f>'Calculation (Not for editing)'!$N$2:$N$7</c:f>
              <c:strCache>
                <c:ptCount val="5"/>
                <c:pt idx="0">
                  <c:v>Bills</c:v>
                </c:pt>
                <c:pt idx="1">
                  <c:v>Entertainment</c:v>
                </c:pt>
                <c:pt idx="2">
                  <c:v>Grocery</c:v>
                </c:pt>
                <c:pt idx="3">
                  <c:v>School</c:v>
                </c:pt>
                <c:pt idx="4">
                  <c:v>Shopping</c:v>
                </c:pt>
              </c:strCache>
            </c:strRef>
          </c:cat>
          <c:val>
            <c:numRef>
              <c:f>'Calculation (Not for editing)'!$P$2:$P$7</c:f>
              <c:numCache>
                <c:formatCode>General</c:formatCode>
                <c:ptCount val="5"/>
                <c:pt idx="0">
                  <c:v>150</c:v>
                </c:pt>
                <c:pt idx="1">
                  <c:v>0</c:v>
                </c:pt>
                <c:pt idx="2">
                  <c:v>10</c:v>
                </c:pt>
                <c:pt idx="3">
                  <c:v>75</c:v>
                </c:pt>
                <c:pt idx="4">
                  <c:v>55</c:v>
                </c:pt>
              </c:numCache>
            </c:numRef>
          </c:val>
          <c:extLst>
            <c:ext xmlns:c16="http://schemas.microsoft.com/office/drawing/2014/chart" uri="{C3380CC4-5D6E-409C-BE32-E72D297353CC}">
              <c16:uniqueId val="{00000001-2506-4A34-90A0-001A7E267CAC}"/>
            </c:ext>
          </c:extLst>
        </c:ser>
        <c:dLbls>
          <c:showLegendKey val="0"/>
          <c:showVal val="0"/>
          <c:showCatName val="0"/>
          <c:showSerName val="0"/>
          <c:showPercent val="0"/>
          <c:showBubbleSize val="0"/>
        </c:dLbls>
        <c:gapWidth val="150"/>
        <c:overlap val="100"/>
        <c:axId val="486538607"/>
        <c:axId val="486541519"/>
      </c:barChart>
      <c:catAx>
        <c:axId val="486538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41519"/>
        <c:crosses val="autoZero"/>
        <c:auto val="1"/>
        <c:lblAlgn val="ctr"/>
        <c:lblOffset val="100"/>
        <c:noMultiLvlLbl val="0"/>
      </c:catAx>
      <c:valAx>
        <c:axId val="486541519"/>
        <c:scaling>
          <c:orientation val="minMax"/>
        </c:scaling>
        <c:delete val="0"/>
        <c:axPos val="b"/>
        <c:majorGridlines>
          <c:spPr>
            <a:ln w="9525" cap="flat" cmpd="sng" algn="ctr">
              <a:solidFill>
                <a:srgbClr val="F7D36F"/>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38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BE9B7"/>
    </a:solidFill>
    <a:ln w="9525" cap="flat" cmpd="sng" algn="ctr">
      <a:solidFill>
        <a:srgbClr val="FBE9B7"/>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4.svg"/><Relationship Id="rId5" Type="http://schemas.openxmlformats.org/officeDocument/2006/relationships/image" Target="../media/image3.png"/><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577849</xdr:colOff>
      <xdr:row>14</xdr:row>
      <xdr:rowOff>68261</xdr:rowOff>
    </xdr:from>
    <xdr:to>
      <xdr:col>10</xdr:col>
      <xdr:colOff>276225</xdr:colOff>
      <xdr:row>34</xdr:row>
      <xdr:rowOff>180975</xdr:rowOff>
    </xdr:to>
    <xdr:graphicFrame macro="">
      <xdr:nvGraphicFramePr>
        <xdr:cNvPr id="2" name="Chart 1">
          <a:extLst>
            <a:ext uri="{FF2B5EF4-FFF2-40B4-BE49-F238E27FC236}">
              <a16:creationId xmlns:a16="http://schemas.microsoft.com/office/drawing/2014/main" id="{86ACF860-26A3-42E9-A5FE-04BB6A7621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590550</xdr:colOff>
      <xdr:row>15</xdr:row>
      <xdr:rowOff>41274</xdr:rowOff>
    </xdr:from>
    <xdr:to>
      <xdr:col>22</xdr:col>
      <xdr:colOff>228600</xdr:colOff>
      <xdr:row>35</xdr:row>
      <xdr:rowOff>3175</xdr:rowOff>
    </xdr:to>
    <xdr:graphicFrame macro="">
      <xdr:nvGraphicFramePr>
        <xdr:cNvPr id="4" name="Chart 3">
          <a:extLst>
            <a:ext uri="{FF2B5EF4-FFF2-40B4-BE49-F238E27FC236}">
              <a16:creationId xmlns:a16="http://schemas.microsoft.com/office/drawing/2014/main" id="{3243A0CE-522B-481A-B282-FA1952C1BF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111796</xdr:colOff>
      <xdr:row>14</xdr:row>
      <xdr:rowOff>110036</xdr:rowOff>
    </xdr:from>
    <xdr:to>
      <xdr:col>9</xdr:col>
      <xdr:colOff>158956</xdr:colOff>
      <xdr:row>18</xdr:row>
      <xdr:rowOff>14321</xdr:rowOff>
    </xdr:to>
    <xdr:pic macro="[0]!TotalProgress">
      <xdr:nvPicPr>
        <xdr:cNvPr id="5" name="Picture 4">
          <a:extLst>
            <a:ext uri="{FF2B5EF4-FFF2-40B4-BE49-F238E27FC236}">
              <a16:creationId xmlns:a16="http://schemas.microsoft.com/office/drawing/2014/main" id="{D6BE1200-80C6-4500-93D6-2D86E8E2483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rot="955473">
          <a:off x="6207796" y="4624886"/>
          <a:ext cx="656760" cy="666285"/>
        </a:xfrm>
        <a:prstGeom prst="rect">
          <a:avLst/>
        </a:prstGeom>
      </xdr:spPr>
    </xdr:pic>
    <xdr:clientData/>
  </xdr:twoCellAnchor>
  <xdr:twoCellAnchor editAs="oneCell">
    <xdr:from>
      <xdr:col>22</xdr:col>
      <xdr:colOff>228599</xdr:colOff>
      <xdr:row>19</xdr:row>
      <xdr:rowOff>180975</xdr:rowOff>
    </xdr:from>
    <xdr:to>
      <xdr:col>24</xdr:col>
      <xdr:colOff>581024</xdr:colOff>
      <xdr:row>32</xdr:row>
      <xdr:rowOff>133350</xdr:rowOff>
    </xdr:to>
    <mc:AlternateContent xmlns:mc="http://schemas.openxmlformats.org/markup-compatibility/2006" xmlns:a14="http://schemas.microsoft.com/office/drawing/2010/main">
      <mc:Choice Requires="a14">
        <xdr:graphicFrame macro="">
          <xdr:nvGraphicFramePr>
            <xdr:cNvPr id="6" name="Category">
              <a:extLst>
                <a:ext uri="{FF2B5EF4-FFF2-40B4-BE49-F238E27FC236}">
                  <a16:creationId xmlns:a16="http://schemas.microsoft.com/office/drawing/2014/main" id="{FCE77798-B024-496F-A117-913B53455905}"/>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4858999" y="5695950"/>
              <a:ext cx="1571625" cy="24288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393700</xdr:colOff>
      <xdr:row>0</xdr:row>
      <xdr:rowOff>660400</xdr:rowOff>
    </xdr:from>
    <xdr:to>
      <xdr:col>16</xdr:col>
      <xdr:colOff>295275</xdr:colOff>
      <xdr:row>7</xdr:row>
      <xdr:rowOff>90463</xdr:rowOff>
    </xdr:to>
    <xdr:pic macro="[0]!CheckChallenges">
      <xdr:nvPicPr>
        <xdr:cNvPr id="7" name="Picture 6">
          <a:extLst>
            <a:ext uri="{FF2B5EF4-FFF2-40B4-BE49-F238E27FC236}">
              <a16:creationId xmlns:a16="http://schemas.microsoft.com/office/drawing/2014/main" id="{C255348B-FB95-79F1-E73B-92AE6835467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928100" y="660400"/>
          <a:ext cx="2339975" cy="2430438"/>
        </a:xfrm>
        <a:prstGeom prst="rect">
          <a:avLst/>
        </a:prstGeom>
      </xdr:spPr>
    </xdr:pic>
    <xdr:clientData/>
  </xdr:twoCellAnchor>
  <xdr:twoCellAnchor editAs="oneCell">
    <xdr:from>
      <xdr:col>4</xdr:col>
      <xdr:colOff>283967</xdr:colOff>
      <xdr:row>0</xdr:row>
      <xdr:rowOff>979076</xdr:rowOff>
    </xdr:from>
    <xdr:to>
      <xdr:col>5</xdr:col>
      <xdr:colOff>447801</xdr:colOff>
      <xdr:row>2</xdr:row>
      <xdr:rowOff>35636</xdr:rowOff>
    </xdr:to>
    <xdr:pic>
      <xdr:nvPicPr>
        <xdr:cNvPr id="16" name="Picture 15">
          <a:extLst>
            <a:ext uri="{FF2B5EF4-FFF2-40B4-BE49-F238E27FC236}">
              <a16:creationId xmlns:a16="http://schemas.microsoft.com/office/drawing/2014/main" id="{3DFC430F-D9C6-4A0E-98C8-28D419AFCB5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rot="19856988" flipH="1">
          <a:off x="3941567" y="979076"/>
          <a:ext cx="773434" cy="666285"/>
        </a:xfrm>
        <a:prstGeom prst="rect">
          <a:avLst/>
        </a:prstGeom>
      </xdr:spPr>
    </xdr:pic>
    <xdr:clientData/>
  </xdr:twoCellAnchor>
  <xdr:twoCellAnchor>
    <xdr:from>
      <xdr:col>6</xdr:col>
      <xdr:colOff>123824</xdr:colOff>
      <xdr:row>0</xdr:row>
      <xdr:rowOff>542925</xdr:rowOff>
    </xdr:from>
    <xdr:to>
      <xdr:col>8</xdr:col>
      <xdr:colOff>19049</xdr:colOff>
      <xdr:row>1</xdr:row>
      <xdr:rowOff>0</xdr:rowOff>
    </xdr:to>
    <xdr:sp macro="[0]!HelpMessage" textlink="">
      <xdr:nvSpPr>
        <xdr:cNvPr id="17" name="Speech Bubble: Oval 16">
          <a:extLst>
            <a:ext uri="{FF2B5EF4-FFF2-40B4-BE49-F238E27FC236}">
              <a16:creationId xmlns:a16="http://schemas.microsoft.com/office/drawing/2014/main" id="{C78346D7-0CCD-495E-80FD-CB620F05ABEE}"/>
            </a:ext>
          </a:extLst>
        </xdr:cNvPr>
        <xdr:cNvSpPr/>
      </xdr:nvSpPr>
      <xdr:spPr>
        <a:xfrm>
          <a:off x="5000624" y="542925"/>
          <a:ext cx="1114425" cy="790575"/>
        </a:xfrm>
        <a:prstGeom prst="wedgeEllipseCallout">
          <a:avLst>
            <a:gd name="adj1" fmla="val -67414"/>
            <a:gd name="adj2" fmla="val 40608"/>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CA" sz="1600">
              <a:latin typeface="Barlow" panose="00000500000000000000" pitchFamily="50" charset="0"/>
            </a:rPr>
            <a:t>Help?</a:t>
          </a:r>
        </a:p>
      </xdr:txBody>
    </xdr:sp>
    <xdr:clientData/>
  </xdr:twoCellAnchor>
  <xdr:twoCellAnchor editAs="oneCell">
    <xdr:from>
      <xdr:col>19</xdr:col>
      <xdr:colOff>390525</xdr:colOff>
      <xdr:row>19</xdr:row>
      <xdr:rowOff>171450</xdr:rowOff>
    </xdr:from>
    <xdr:to>
      <xdr:col>20</xdr:col>
      <xdr:colOff>437685</xdr:colOff>
      <xdr:row>23</xdr:row>
      <xdr:rowOff>75735</xdr:rowOff>
    </xdr:to>
    <xdr:pic macro="[0]!CategoryMessage">
      <xdr:nvPicPr>
        <xdr:cNvPr id="18" name="Picture 17">
          <a:extLst>
            <a:ext uri="{FF2B5EF4-FFF2-40B4-BE49-F238E27FC236}">
              <a16:creationId xmlns:a16="http://schemas.microsoft.com/office/drawing/2014/main" id="{7B1936CB-7656-49E7-95E9-CF79F09FD9D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rot="955473">
          <a:off x="13192125" y="5638800"/>
          <a:ext cx="656760" cy="666285"/>
        </a:xfrm>
        <a:prstGeom prst="rect">
          <a:avLst/>
        </a:prstGeom>
      </xdr:spPr>
    </xdr:pic>
    <xdr:clientData/>
  </xdr:twoCellAnchor>
  <xdr:twoCellAnchor editAs="oneCell">
    <xdr:from>
      <xdr:col>14</xdr:col>
      <xdr:colOff>485100</xdr:colOff>
      <xdr:row>2</xdr:row>
      <xdr:rowOff>246830</xdr:rowOff>
    </xdr:from>
    <xdr:to>
      <xdr:col>16</xdr:col>
      <xdr:colOff>380990</xdr:colOff>
      <xdr:row>9</xdr:row>
      <xdr:rowOff>21942</xdr:rowOff>
    </xdr:to>
    <xdr:pic>
      <xdr:nvPicPr>
        <xdr:cNvPr id="22" name="Graphic 21" descr="Line arrow: Clockwise curve with solid fill">
          <a:extLst>
            <a:ext uri="{FF2B5EF4-FFF2-40B4-BE49-F238E27FC236}">
              <a16:creationId xmlns:a16="http://schemas.microsoft.com/office/drawing/2014/main" id="{FB87DD4A-54C1-44DC-8316-97C81D4C84C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rot="8623311" flipH="1" flipV="1">
          <a:off x="10238700" y="1856555"/>
          <a:ext cx="1115090" cy="17753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314325</xdr:colOff>
      <xdr:row>2</xdr:row>
      <xdr:rowOff>9524</xdr:rowOff>
    </xdr:from>
    <xdr:to>
      <xdr:col>6</xdr:col>
      <xdr:colOff>266700</xdr:colOff>
      <xdr:row>9</xdr:row>
      <xdr:rowOff>66675</xdr:rowOff>
    </xdr:to>
    <xdr:sp macro="[0]!ShowExpenseForm" textlink="">
      <xdr:nvSpPr>
        <xdr:cNvPr id="2" name="Hexagon 1">
          <a:extLst>
            <a:ext uri="{FF2B5EF4-FFF2-40B4-BE49-F238E27FC236}">
              <a16:creationId xmlns:a16="http://schemas.microsoft.com/office/drawing/2014/main" id="{BE97C0D8-C6C5-424A-BCF3-7A88EE3CB8AB}"/>
            </a:ext>
          </a:extLst>
        </xdr:cNvPr>
        <xdr:cNvSpPr/>
      </xdr:nvSpPr>
      <xdr:spPr>
        <a:xfrm>
          <a:off x="4162425" y="1619249"/>
          <a:ext cx="1781175" cy="1524001"/>
        </a:xfrm>
        <a:prstGeom prst="hexagon">
          <a:avLst/>
        </a:prstGeom>
        <a:solidFill>
          <a:srgbClr val="F3BF2D"/>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2000">
              <a:latin typeface="Barlow ExtraBold" panose="00000900000000000000" pitchFamily="50" charset="0"/>
            </a:rPr>
            <a:t>Add</a:t>
          </a:r>
          <a:r>
            <a:rPr lang="en-CA" sz="2000" baseline="0">
              <a:latin typeface="Barlow ExtraBold" panose="00000900000000000000" pitchFamily="50" charset="0"/>
            </a:rPr>
            <a:t> Expense!</a:t>
          </a:r>
          <a:endParaRPr lang="en-CA" sz="2000">
            <a:latin typeface="Barlow ExtraBold" panose="00000900000000000000" pitchFamily="50"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447675</xdr:colOff>
      <xdr:row>0</xdr:row>
      <xdr:rowOff>177579</xdr:rowOff>
    </xdr:from>
    <xdr:to>
      <xdr:col>9</xdr:col>
      <xdr:colOff>123824</xdr:colOff>
      <xdr:row>2</xdr:row>
      <xdr:rowOff>158528</xdr:rowOff>
    </xdr:to>
    <xdr:pic macro="[0]!BudgetMessage">
      <xdr:nvPicPr>
        <xdr:cNvPr id="3" name="Picture 2">
          <a:extLst>
            <a:ext uri="{FF2B5EF4-FFF2-40B4-BE49-F238E27FC236}">
              <a16:creationId xmlns:a16="http://schemas.microsoft.com/office/drawing/2014/main" id="{8EE7703F-EB9A-4BD7-9D3F-1DD7ACB12C1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955473">
          <a:off x="6134100" y="177579"/>
          <a:ext cx="1504949" cy="1504949"/>
        </a:xfrm>
        <a:prstGeom prst="rect">
          <a:avLst/>
        </a:prstGeom>
      </xdr:spPr>
    </xdr:pic>
    <xdr:clientData/>
  </xdr:twoCellAnchor>
  <xdr:twoCellAnchor>
    <xdr:from>
      <xdr:col>2</xdr:col>
      <xdr:colOff>276224</xdr:colOff>
      <xdr:row>2</xdr:row>
      <xdr:rowOff>342901</xdr:rowOff>
    </xdr:from>
    <xdr:to>
      <xdr:col>5</xdr:col>
      <xdr:colOff>133350</xdr:colOff>
      <xdr:row>8</xdr:row>
      <xdr:rowOff>161925</xdr:rowOff>
    </xdr:to>
    <xdr:sp macro="[0]!ShowBudgetForm" textlink="">
      <xdr:nvSpPr>
        <xdr:cNvPr id="5" name="Hexagon 4">
          <a:extLst>
            <a:ext uri="{FF2B5EF4-FFF2-40B4-BE49-F238E27FC236}">
              <a16:creationId xmlns:a16="http://schemas.microsoft.com/office/drawing/2014/main" id="{C3C023B3-1F19-4988-A40D-CE9647F0482E}"/>
            </a:ext>
          </a:extLst>
        </xdr:cNvPr>
        <xdr:cNvSpPr/>
      </xdr:nvSpPr>
      <xdr:spPr>
        <a:xfrm>
          <a:off x="4086224" y="1866901"/>
          <a:ext cx="1685926" cy="1362074"/>
        </a:xfrm>
        <a:prstGeom prst="hexagon">
          <a:avLst/>
        </a:prstGeom>
        <a:solidFill>
          <a:srgbClr val="F3BF2D"/>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800">
              <a:latin typeface="Barlow Black" panose="00000A00000000000000" pitchFamily="50" charset="0"/>
            </a:rPr>
            <a:t>Add</a:t>
          </a:r>
          <a:r>
            <a:rPr lang="en-CA" sz="1800" baseline="0">
              <a:latin typeface="Barlow Black" panose="00000A00000000000000" pitchFamily="50" charset="0"/>
            </a:rPr>
            <a:t> Budget Goal</a:t>
          </a:r>
          <a:endParaRPr lang="en-CA" sz="1800">
            <a:latin typeface="Barlow Black" panose="00000A00000000000000" pitchFamily="50"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457199</xdr:colOff>
      <xdr:row>0</xdr:row>
      <xdr:rowOff>1266825</xdr:rowOff>
    </xdr:from>
    <xdr:to>
      <xdr:col>5</xdr:col>
      <xdr:colOff>447674</xdr:colOff>
      <xdr:row>8</xdr:row>
      <xdr:rowOff>0</xdr:rowOff>
    </xdr:to>
    <xdr:sp macro="[0]!OpenIncomeForm" textlink="">
      <xdr:nvSpPr>
        <xdr:cNvPr id="2" name="Hexagon 1">
          <a:extLst>
            <a:ext uri="{FF2B5EF4-FFF2-40B4-BE49-F238E27FC236}">
              <a16:creationId xmlns:a16="http://schemas.microsoft.com/office/drawing/2014/main" id="{79784E01-4AEC-4D77-8281-A5B5DFB524E0}"/>
            </a:ext>
          </a:extLst>
        </xdr:cNvPr>
        <xdr:cNvSpPr/>
      </xdr:nvSpPr>
      <xdr:spPr>
        <a:xfrm>
          <a:off x="3829049" y="1266825"/>
          <a:ext cx="1819275" cy="1524000"/>
        </a:xfrm>
        <a:prstGeom prst="hexagon">
          <a:avLst/>
        </a:prstGeom>
        <a:solidFill>
          <a:srgbClr val="F3BF2D"/>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800">
              <a:latin typeface="Barlow Black" panose="00000A00000000000000" pitchFamily="50" charset="0"/>
            </a:rPr>
            <a:t>Add</a:t>
          </a:r>
          <a:r>
            <a:rPr lang="en-CA" sz="1800" baseline="0">
              <a:latin typeface="Barlow Black" panose="00000A00000000000000" pitchFamily="50" charset="0"/>
            </a:rPr>
            <a:t> </a:t>
          </a:r>
          <a:r>
            <a:rPr lang="en-CA" sz="1600" baseline="0">
              <a:latin typeface="Barlow Black" panose="00000A00000000000000" pitchFamily="50" charset="0"/>
            </a:rPr>
            <a:t>Monthly</a:t>
          </a:r>
          <a:r>
            <a:rPr lang="en-CA" sz="1800">
              <a:latin typeface="Barlow Black" panose="00000A00000000000000" pitchFamily="50" charset="0"/>
            </a:rPr>
            <a:t> Income</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202682</xdr:colOff>
      <xdr:row>7</xdr:row>
      <xdr:rowOff>32313</xdr:rowOff>
    </xdr:from>
    <xdr:to>
      <xdr:col>4</xdr:col>
      <xdr:colOff>426287</xdr:colOff>
      <xdr:row>16</xdr:row>
      <xdr:rowOff>85885</xdr:rowOff>
    </xdr:to>
    <xdr:pic>
      <xdr:nvPicPr>
        <xdr:cNvPr id="2" name="Picture 1">
          <a:extLst>
            <a:ext uri="{FF2B5EF4-FFF2-40B4-BE49-F238E27FC236}">
              <a16:creationId xmlns:a16="http://schemas.microsoft.com/office/drawing/2014/main" id="{1FE6BE7E-B096-4D80-98F7-F5EFBE090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21251414" flipH="1">
          <a:off x="812282" y="2499288"/>
          <a:ext cx="2052405" cy="1768072"/>
        </a:xfrm>
        <a:prstGeom prst="rect">
          <a:avLst/>
        </a:prstGeom>
      </xdr:spPr>
    </xdr:pic>
    <xdr:clientData/>
  </xdr:twoCellAnchor>
  <xdr:twoCellAnchor>
    <xdr:from>
      <xdr:col>4</xdr:col>
      <xdr:colOff>600075</xdr:colOff>
      <xdr:row>3</xdr:row>
      <xdr:rowOff>47625</xdr:rowOff>
    </xdr:from>
    <xdr:to>
      <xdr:col>10</xdr:col>
      <xdr:colOff>266700</xdr:colOff>
      <xdr:row>10</xdr:row>
      <xdr:rowOff>57150</xdr:rowOff>
    </xdr:to>
    <xdr:sp macro="[0]!FinancialAdvice" textlink="">
      <xdr:nvSpPr>
        <xdr:cNvPr id="3" name="Speech Bubble: Oval 2">
          <a:extLst>
            <a:ext uri="{FF2B5EF4-FFF2-40B4-BE49-F238E27FC236}">
              <a16:creationId xmlns:a16="http://schemas.microsoft.com/office/drawing/2014/main" id="{AC6680D6-B73E-4757-8158-FC28D2A76335}"/>
            </a:ext>
          </a:extLst>
        </xdr:cNvPr>
        <xdr:cNvSpPr/>
      </xdr:nvSpPr>
      <xdr:spPr>
        <a:xfrm>
          <a:off x="3038475" y="1752600"/>
          <a:ext cx="3324225" cy="1343025"/>
        </a:xfrm>
        <a:prstGeom prst="wedgeEllipseCallout">
          <a:avLst>
            <a:gd name="adj1" fmla="val -54644"/>
            <a:gd name="adj2" fmla="val 79521"/>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CA" sz="1800">
              <a:latin typeface="Barlow Black" panose="00000A00000000000000" pitchFamily="50" charset="0"/>
            </a:rPr>
            <a:t>Let's</a:t>
          </a:r>
          <a:r>
            <a:rPr lang="en-CA" sz="1800" baseline="0">
              <a:latin typeface="Barlow Black" panose="00000A00000000000000" pitchFamily="50" charset="0"/>
            </a:rPr>
            <a:t> chat about your spending!</a:t>
          </a:r>
          <a:endParaRPr lang="en-CA" sz="1800">
            <a:latin typeface="Barlow Black" panose="00000A00000000000000" pitchFamily="50"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njri" refreshedDate="45622.843713078706" createdVersion="7" refreshedVersion="8" minRefreshableVersion="3" recordCount="1" xr:uid="{F3F4FCD5-0CAB-40B4-826F-4BC7EF267C15}">
  <cacheSource type="worksheet">
    <worksheetSource ref="A1:B2" sheet="Calculation (Not for editing)"/>
  </cacheSource>
  <cacheFields count="2">
    <cacheField name="Budget" numFmtId="0">
      <sharedItems containsSemiMixedTypes="0" containsString="0" containsNumber="1" containsInteger="1" minValue="550" maxValue="550"/>
    </cacheField>
    <cacheField name="Spent" numFmtId="0">
      <sharedItems containsSemiMixedTypes="0" containsString="0" containsNumber="1" containsInteger="1" minValue="260" maxValue="26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Panjri" refreshedDate="45625.774467939817" createdVersion="7" refreshedVersion="8" minRefreshableVersion="3" recordCount="5" xr:uid="{E1039B2F-C870-48F2-81AA-2844B7625463}">
  <cacheSource type="worksheet">
    <worksheetSource ref="I1:K6" sheet="Calculation (Not for editing)"/>
  </cacheSource>
  <cacheFields count="6">
    <cacheField name="Category" numFmtId="0">
      <sharedItems count="5">
        <s v="Shopping"/>
        <s v="Bills"/>
        <s v="School"/>
        <s v="Grocery"/>
        <s v="Entertainment"/>
      </sharedItems>
    </cacheField>
    <cacheField name="Amount spent" numFmtId="0">
      <sharedItems containsSemiMixedTypes="0" containsString="0" containsNumber="1" containsInteger="1" minValue="25" maxValue="90"/>
    </cacheField>
    <cacheField name="Budget" numFmtId="0">
      <sharedItems containsSemiMixedTypes="0" containsString="0" containsNumber="1" containsInteger="1" minValue="50" maxValue="200"/>
    </cacheField>
    <cacheField name="Excess" numFmtId="0" formula="Budget-'Amount spent'" databaseField="0"/>
    <cacheField name="Spent Within Budget" numFmtId="0" formula=" MIN('Amount spent',Budget)" databaseField="0"/>
    <cacheField name="Excess Amount" numFmtId="0" formula="IF('Amount spent'&gt;Budget,0,Budget-'Amount spent')" databaseField="0"/>
  </cacheFields>
  <extLst>
    <ext xmlns:x14="http://schemas.microsoft.com/office/spreadsheetml/2009/9/main" uri="{725AE2AE-9491-48be-B2B4-4EB974FC3084}">
      <x14:pivotCacheDefinition pivotCacheId="84391440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Panjri" refreshedDate="45625.774468055555" createdVersion="7" refreshedVersion="8" minRefreshableVersion="3" recordCount="421" xr:uid="{A5AF67CE-0868-4FEB-8B79-7026F222D486}">
  <cacheSource type="worksheet">
    <worksheetSource ref="A2:C423" sheet="Expense"/>
  </cacheSource>
  <cacheFields count="3">
    <cacheField name="Date:" numFmtId="0">
      <sharedItems containsNonDate="0" containsDate="1" containsString="0" containsBlank="1" minDate="2024-01-01T00:00:00" maxDate="2024-01-11T00:00:00"/>
    </cacheField>
    <cacheField name="Amount:" numFmtId="164">
      <sharedItems containsString="0" containsBlank="1" containsNumber="1" containsInteger="1" minValue="20" maxValue="90"/>
    </cacheField>
    <cacheField name="Category:" numFmtId="0">
      <sharedItems containsBlank="1" count="6">
        <s v="Shopping"/>
        <s v="Groceries"/>
        <s v="Entertainment"/>
        <s v="Bills"/>
        <s v="School"/>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n v="550"/>
    <n v="26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45"/>
    <n v="100"/>
  </r>
  <r>
    <x v="1"/>
    <n v="50"/>
    <n v="200"/>
  </r>
  <r>
    <x v="2"/>
    <n v="25"/>
    <n v="100"/>
  </r>
  <r>
    <x v="3"/>
    <n v="90"/>
    <n v="100"/>
  </r>
  <r>
    <x v="4"/>
    <n v="90"/>
    <n v="5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1">
  <r>
    <d v="2024-01-01T00:00:00"/>
    <n v="45"/>
    <x v="0"/>
  </r>
  <r>
    <d v="2024-01-02T00:00:00"/>
    <n v="50"/>
    <x v="1"/>
  </r>
  <r>
    <d v="2024-01-03T00:00:00"/>
    <n v="90"/>
    <x v="2"/>
  </r>
  <r>
    <d v="2024-01-04T00:00:00"/>
    <n v="50"/>
    <x v="3"/>
  </r>
  <r>
    <d v="2024-01-05T00:00:00"/>
    <n v="25"/>
    <x v="4"/>
  </r>
  <r>
    <d v="2024-01-09T00:00:00"/>
    <n v="20"/>
    <x v="1"/>
  </r>
  <r>
    <d v="2024-01-10T00:00:00"/>
    <n v="20"/>
    <x v="1"/>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r>
    <m/>
    <m/>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37D02F7-8973-42DA-9064-6CC59ECAD1F8}" name="PivotTable1" cacheId="11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J4:K10" firstHeaderRow="1" firstDataRow="1" firstDataCol="1"/>
  <pivotFields count="3">
    <pivotField showAll="0"/>
    <pivotField dataField="1" showAll="0"/>
    <pivotField axis="axisRow" showAll="0" sortType="descending">
      <items count="7">
        <item h="1" x="5"/>
        <item x="0"/>
        <item x="4"/>
        <item x="1"/>
        <item x="2"/>
        <item x="3"/>
        <item t="default"/>
      </items>
    </pivotField>
  </pivotFields>
  <rowFields count="1">
    <field x="2"/>
  </rowFields>
  <rowItems count="6">
    <i>
      <x v="1"/>
    </i>
    <i>
      <x v="2"/>
    </i>
    <i>
      <x v="3"/>
    </i>
    <i>
      <x v="4"/>
    </i>
    <i>
      <x v="5"/>
    </i>
    <i t="grand">
      <x/>
    </i>
  </rowItems>
  <colItems count="1">
    <i/>
  </colItems>
  <dataFields count="1">
    <dataField name="Sum of Amount:" fld="1" baseField="0" baseItem="0"/>
  </dataFields>
  <formats count="18">
    <format dxfId="56">
      <pivotArea type="all" dataOnly="0" outline="0" fieldPosition="0"/>
    </format>
    <format dxfId="55">
      <pivotArea outline="0" collapsedLevelsAreSubtotals="1" fieldPosition="0"/>
    </format>
    <format dxfId="54">
      <pivotArea field="2" type="button" dataOnly="0" labelOnly="1" outline="0" axis="axisRow" fieldPosition="0"/>
    </format>
    <format dxfId="53">
      <pivotArea dataOnly="0" labelOnly="1" fieldPosition="0">
        <references count="1">
          <reference field="2" count="0"/>
        </references>
      </pivotArea>
    </format>
    <format dxfId="52">
      <pivotArea dataOnly="0" labelOnly="1" grandRow="1" outline="0" fieldPosition="0"/>
    </format>
    <format dxfId="51">
      <pivotArea dataOnly="0" labelOnly="1" outline="0" axis="axisValues" fieldPosition="0"/>
    </format>
    <format dxfId="50">
      <pivotArea type="all" dataOnly="0" outline="0" fieldPosition="0"/>
    </format>
    <format dxfId="49">
      <pivotArea outline="0" collapsedLevelsAreSubtotals="1" fieldPosition="0"/>
    </format>
    <format dxfId="48">
      <pivotArea field="2" type="button" dataOnly="0" labelOnly="1" outline="0" axis="axisRow" fieldPosition="0"/>
    </format>
    <format dxfId="47">
      <pivotArea dataOnly="0" labelOnly="1" fieldPosition="0">
        <references count="1">
          <reference field="2" count="0"/>
        </references>
      </pivotArea>
    </format>
    <format dxfId="46">
      <pivotArea dataOnly="0" labelOnly="1" grandRow="1" outline="0" fieldPosition="0"/>
    </format>
    <format dxfId="45">
      <pivotArea dataOnly="0" labelOnly="1" outline="0" axis="axisValues" fieldPosition="0"/>
    </format>
    <format dxfId="44">
      <pivotArea type="all" dataOnly="0" outline="0" fieldPosition="0"/>
    </format>
    <format dxfId="43">
      <pivotArea outline="0" collapsedLevelsAreSubtotals="1" fieldPosition="0"/>
    </format>
    <format dxfId="42">
      <pivotArea field="2" type="button" dataOnly="0" labelOnly="1" outline="0" axis="axisRow" fieldPosition="0"/>
    </format>
    <format dxfId="41">
      <pivotArea dataOnly="0" labelOnly="1" fieldPosition="0">
        <references count="1">
          <reference field="2" count="0"/>
        </references>
      </pivotArea>
    </format>
    <format dxfId="40">
      <pivotArea dataOnly="0" labelOnly="1" grandRow="1" outline="0" fieldPosition="0"/>
    </format>
    <format dxfId="3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8182A34-AE52-4E1E-85C6-C61F2240057D}" name="PivotTable3" cacheId="107"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N1:P7" firstHeaderRow="0" firstDataRow="1" firstDataCol="1"/>
  <pivotFields count="6">
    <pivotField axis="axisRow" showAll="0">
      <items count="6">
        <item x="1"/>
        <item x="4"/>
        <item x="3"/>
        <item x="2"/>
        <item x="0"/>
        <item t="default"/>
      </items>
    </pivotField>
    <pivotField showAll="0"/>
    <pivotField showAll="0"/>
    <pivotField dragToRow="0" dragToCol="0" dragToPage="0" showAll="0" defaultSubtotal="0"/>
    <pivotField dataField="1" dragToRow="0" dragToCol="0" dragToPage="0" showAll="0" defaultSubtotal="0"/>
    <pivotField dataField="1" dragToRow="0" dragToCol="0" dragToPage="0" showAll="0" defaultSubtotal="0"/>
  </pivotFields>
  <rowFields count="1">
    <field x="0"/>
  </rowFields>
  <rowItems count="6">
    <i>
      <x/>
    </i>
    <i>
      <x v="1"/>
    </i>
    <i>
      <x v="2"/>
    </i>
    <i>
      <x v="3"/>
    </i>
    <i>
      <x v="4"/>
    </i>
    <i t="grand">
      <x/>
    </i>
  </rowItems>
  <colFields count="1">
    <field x="-2"/>
  </colFields>
  <colItems count="2">
    <i>
      <x/>
    </i>
    <i i="1">
      <x v="1"/>
    </i>
  </colItems>
  <dataFields count="2">
    <dataField name="Sum of Spent Within Budget" fld="4" baseField="0" baseItem="0"/>
    <dataField name="Sum of Excess Amount" fld="5" baseField="0" baseItem="0"/>
  </dataFields>
  <formats count="6">
    <format dxfId="29">
      <pivotArea type="all" dataOnly="0" outline="0" fieldPosition="0"/>
    </format>
    <format dxfId="28">
      <pivotArea outline="0" collapsedLevelsAreSubtotals="1" fieldPosition="0"/>
    </format>
    <format dxfId="27">
      <pivotArea field="0" type="button" dataOnly="0" labelOnly="1" outline="0" axis="axisRow" fieldPosition="0"/>
    </format>
    <format dxfId="26">
      <pivotArea dataOnly="0" labelOnly="1" fieldPosition="0">
        <references count="1">
          <reference field="0" count="0"/>
        </references>
      </pivotArea>
    </format>
    <format dxfId="25">
      <pivotArea dataOnly="0" labelOnly="1" grandRow="1" outline="0" fieldPosition="0"/>
    </format>
    <format dxfId="24">
      <pivotArea dataOnly="0" labelOnly="1" outline="0" fieldPosition="0">
        <references count="1">
          <reference field="4294967294" count="2">
            <x v="0"/>
            <x v="1"/>
          </reference>
        </references>
      </pivotArea>
    </format>
  </formats>
  <chartFormats count="4">
    <chartFormat chart="1" format="7" series="1">
      <pivotArea type="data" outline="0" fieldPosition="0">
        <references count="1">
          <reference field="4294967294" count="1" selected="0">
            <x v="0"/>
          </reference>
        </references>
      </pivotArea>
    </chartFormat>
    <chartFormat chart="1" format="8"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435721E-4BA8-42C8-9CD1-FA31E20406AC}" name="PivotTable2" cacheId="10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D1:E2" firstHeaderRow="0" firstDataRow="1" firstDataCol="0"/>
  <pivotFields count="2">
    <pivotField dataField="1" showAll="0"/>
    <pivotField dataField="1" showAll="0"/>
  </pivotFields>
  <rowItems count="1">
    <i/>
  </rowItems>
  <colFields count="1">
    <field x="-2"/>
  </colFields>
  <colItems count="2">
    <i>
      <x/>
    </i>
    <i i="1">
      <x v="1"/>
    </i>
  </colItems>
  <dataFields count="2">
    <dataField name="Sum of Spent" fld="1" baseField="0" baseItem="0"/>
    <dataField name="Sum of Budget" fld="0" baseField="0" baseItem="0"/>
  </dataFields>
  <formats count="6">
    <format dxfId="35">
      <pivotArea type="all" dataOnly="0" outline="0" fieldPosition="0"/>
    </format>
    <format dxfId="34">
      <pivotArea outline="0" collapsedLevelsAreSubtotals="1" fieldPosition="0"/>
    </format>
    <format dxfId="33">
      <pivotArea dataOnly="0" labelOnly="1" outline="0" fieldPosition="0">
        <references count="1">
          <reference field="4294967294" count="2">
            <x v="0"/>
            <x v="1"/>
          </reference>
        </references>
      </pivotArea>
    </format>
    <format dxfId="32">
      <pivotArea type="all" dataOnly="0" outline="0" fieldPosition="0"/>
    </format>
    <format dxfId="31">
      <pivotArea outline="0" collapsedLevelsAreSubtotals="1" fieldPosition="0"/>
    </format>
    <format dxfId="30">
      <pivotArea dataOnly="0" labelOnly="1" outline="0" fieldPosition="0">
        <references count="1">
          <reference field="4294967294" count="2">
            <x v="0"/>
            <x v="1"/>
          </reference>
        </references>
      </pivotArea>
    </format>
  </formats>
  <chartFormats count="3">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1" format="4">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3DCF4DE3-2170-40B5-9C25-2FC1188C57DD}" sourceName="Category">
  <pivotTables>
    <pivotTable tabId="5" name="PivotTable3"/>
  </pivotTables>
  <data>
    <tabular pivotCacheId="843914402">
      <items count="5">
        <i x="1" s="1"/>
        <i x="4" s="1"/>
        <i x="3"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5686C714-2643-4012-8FBF-16E4F983AD92}" cache="Slicer_Category" caption="Category" style="SlicerStyleDark4"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6EE78-9DB9-48A7-9A15-DFE3B8B1BF76}">
  <sheetPr codeName="Sheet3"/>
  <dimension ref="A1:V32"/>
  <sheetViews>
    <sheetView workbookViewId="0">
      <selection activeCell="F8" sqref="F8"/>
    </sheetView>
  </sheetViews>
  <sheetFormatPr baseColWidth="10" defaultColWidth="9.1640625" defaultRowHeight="15" x14ac:dyDescent="0.2"/>
  <cols>
    <col min="1" max="1" width="27.5" style="1" customWidth="1"/>
    <col min="2" max="16384" width="9.1640625" style="1"/>
  </cols>
  <sheetData>
    <row r="1" spans="1:22" ht="94" x14ac:dyDescent="1.1000000000000001">
      <c r="A1" s="36" t="s">
        <v>24</v>
      </c>
    </row>
    <row r="2" spans="1:22" ht="20" x14ac:dyDescent="0.3">
      <c r="A2" s="17"/>
      <c r="L2" s="17"/>
      <c r="M2" s="17"/>
      <c r="N2" s="17"/>
      <c r="O2" s="17"/>
      <c r="P2" s="17"/>
      <c r="R2" s="17" t="s">
        <v>35</v>
      </c>
      <c r="S2" s="17"/>
      <c r="T2" s="17"/>
      <c r="U2" s="17"/>
      <c r="V2" s="17"/>
    </row>
    <row r="3" spans="1:22" ht="20" x14ac:dyDescent="0.3">
      <c r="L3" s="17"/>
      <c r="M3" s="17"/>
      <c r="N3" s="17"/>
      <c r="O3" s="17"/>
      <c r="P3" s="17"/>
      <c r="R3" s="17" t="s">
        <v>36</v>
      </c>
      <c r="S3" s="17"/>
      <c r="T3" s="17"/>
      <c r="U3" s="17"/>
      <c r="V3" s="17"/>
    </row>
    <row r="4" spans="1:22" ht="27" x14ac:dyDescent="0.35">
      <c r="A4" s="37" t="s">
        <v>14</v>
      </c>
      <c r="B4" s="37">
        <v>0</v>
      </c>
      <c r="C4" s="35">
        <v>0</v>
      </c>
      <c r="L4" s="17"/>
      <c r="M4" s="17"/>
      <c r="N4" s="17"/>
      <c r="O4" s="17"/>
      <c r="P4" s="17"/>
      <c r="R4" s="17" t="s">
        <v>37</v>
      </c>
      <c r="S4" s="17"/>
      <c r="T4" s="17"/>
      <c r="U4" s="17"/>
      <c r="V4" s="17"/>
    </row>
    <row r="5" spans="1:22" ht="20" x14ac:dyDescent="0.3">
      <c r="L5" s="17"/>
      <c r="M5" s="17"/>
      <c r="N5" s="17"/>
      <c r="O5" s="17"/>
      <c r="P5" s="17"/>
      <c r="R5" s="17" t="s">
        <v>38</v>
      </c>
      <c r="S5" s="17"/>
      <c r="T5" s="17"/>
      <c r="U5" s="17"/>
      <c r="V5" s="17"/>
    </row>
    <row r="6" spans="1:22" ht="20" x14ac:dyDescent="0.3">
      <c r="L6" s="17"/>
      <c r="M6" s="17"/>
      <c r="N6" s="17"/>
      <c r="O6" s="17"/>
      <c r="P6" s="17"/>
    </row>
    <row r="8" spans="1:22" ht="17" x14ac:dyDescent="0.25">
      <c r="R8" s="38" t="s">
        <v>39</v>
      </c>
    </row>
    <row r="9" spans="1:22" ht="27" x14ac:dyDescent="0.35">
      <c r="A9" s="37" t="s">
        <v>33</v>
      </c>
    </row>
    <row r="32" spans="1:2" x14ac:dyDescent="0.2">
      <c r="A32" s="34">
        <f>'Calculation (Not for editing)'!A2</f>
        <v>550</v>
      </c>
      <c r="B32" s="34">
        <f>'Calculation (Not for editing)'!B2</f>
        <v>300</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CCE45-8100-4E70-9EBA-BEF07085815E}">
  <sheetPr codeName="Sheet2"/>
  <dimension ref="A1:K423"/>
  <sheetViews>
    <sheetView tabSelected="1" workbookViewId="0">
      <selection activeCell="J9" sqref="J9:K9"/>
      <pivotSelection pane="bottomRight" showHeader="1" extendable="1" axis="axisRow" start="4" max="6" activeRow="8" activeCol="9" previousRow="8" previousCol="9" click="1" r:id="rId1">
        <pivotArea dataOnly="0" fieldPosition="0">
          <references count="1">
            <reference field="2" count="1">
              <x v="5"/>
            </reference>
          </references>
        </pivotArea>
      </pivotSelection>
    </sheetView>
  </sheetViews>
  <sheetFormatPr baseColWidth="10" defaultColWidth="9.1640625" defaultRowHeight="15" x14ac:dyDescent="0.2"/>
  <cols>
    <col min="1" max="1" width="19" style="32" customWidth="1"/>
    <col min="2" max="2" width="19.5" style="12" customWidth="1"/>
    <col min="3" max="3" width="19.33203125" style="1" customWidth="1"/>
    <col min="4" max="6" width="9.1640625" style="1"/>
    <col min="7" max="7" width="11.33203125" style="1" bestFit="1" customWidth="1"/>
    <col min="8" max="9" width="9.1640625" style="1"/>
    <col min="10" max="10" width="13" style="1" bestFit="1" customWidth="1"/>
    <col min="11" max="11" width="14.1640625" style="1" bestFit="1" customWidth="1"/>
    <col min="12" max="12" width="9.5" style="1" bestFit="1" customWidth="1"/>
    <col min="13" max="13" width="9.33203125" style="1" bestFit="1" customWidth="1"/>
    <col min="14" max="14" width="7.33203125" style="1" bestFit="1" customWidth="1"/>
    <col min="15" max="15" width="11.33203125" style="1" bestFit="1" customWidth="1"/>
    <col min="16" max="16384" width="9.1640625" style="1"/>
  </cols>
  <sheetData>
    <row r="1" spans="1:11" ht="95" x14ac:dyDescent="1.1499999999999999">
      <c r="A1" s="15" t="s">
        <v>9</v>
      </c>
    </row>
    <row r="2" spans="1:11" ht="20" x14ac:dyDescent="0.3">
      <c r="A2" s="29" t="s">
        <v>10</v>
      </c>
      <c r="B2" s="13" t="s">
        <v>11</v>
      </c>
      <c r="C2" s="10" t="s">
        <v>1</v>
      </c>
    </row>
    <row r="3" spans="1:11" ht="16" x14ac:dyDescent="0.25">
      <c r="A3" s="50">
        <v>45292</v>
      </c>
      <c r="B3" s="51">
        <v>45</v>
      </c>
      <c r="C3" s="52" t="s">
        <v>3</v>
      </c>
    </row>
    <row r="4" spans="1:11" ht="16" x14ac:dyDescent="0.25">
      <c r="A4" s="53">
        <v>45293</v>
      </c>
      <c r="B4" s="51">
        <v>50</v>
      </c>
      <c r="C4" s="52" t="s">
        <v>12</v>
      </c>
      <c r="J4" s="27" t="s">
        <v>23</v>
      </c>
      <c r="K4" s="27" t="s">
        <v>22</v>
      </c>
    </row>
    <row r="5" spans="1:11" ht="16" x14ac:dyDescent="0.25">
      <c r="A5" s="50">
        <v>45294</v>
      </c>
      <c r="B5" s="51">
        <v>90</v>
      </c>
      <c r="C5" s="52" t="s">
        <v>7</v>
      </c>
      <c r="J5" s="28" t="s">
        <v>3</v>
      </c>
      <c r="K5" s="58">
        <v>45</v>
      </c>
    </row>
    <row r="6" spans="1:11" ht="16" x14ac:dyDescent="0.25">
      <c r="A6" s="53">
        <v>45295</v>
      </c>
      <c r="B6" s="51">
        <v>50</v>
      </c>
      <c r="C6" s="52" t="s">
        <v>4</v>
      </c>
      <c r="J6" s="28" t="s">
        <v>5</v>
      </c>
      <c r="K6" s="58">
        <v>25</v>
      </c>
    </row>
    <row r="7" spans="1:11" ht="16" x14ac:dyDescent="0.25">
      <c r="A7" s="50">
        <v>45296</v>
      </c>
      <c r="B7" s="51">
        <v>25</v>
      </c>
      <c r="C7" s="52" t="s">
        <v>5</v>
      </c>
      <c r="J7" s="28" t="s">
        <v>12</v>
      </c>
      <c r="K7" s="58">
        <v>90</v>
      </c>
    </row>
    <row r="8" spans="1:11" ht="16" x14ac:dyDescent="0.25">
      <c r="A8" s="50">
        <v>45300</v>
      </c>
      <c r="B8" s="51">
        <v>20</v>
      </c>
      <c r="C8" s="52" t="s">
        <v>12</v>
      </c>
      <c r="J8" s="28" t="s">
        <v>7</v>
      </c>
      <c r="K8" s="58">
        <v>90</v>
      </c>
    </row>
    <row r="9" spans="1:11" ht="16" x14ac:dyDescent="0.25">
      <c r="A9" s="50">
        <v>45301</v>
      </c>
      <c r="B9" s="51">
        <v>20</v>
      </c>
      <c r="C9" s="52" t="s">
        <v>12</v>
      </c>
      <c r="J9" s="28" t="s">
        <v>4</v>
      </c>
      <c r="K9" s="58">
        <v>50</v>
      </c>
    </row>
    <row r="10" spans="1:11" ht="16" x14ac:dyDescent="0.25">
      <c r="A10" s="50"/>
      <c r="B10" s="51"/>
      <c r="C10" s="52"/>
      <c r="J10" s="28" t="s">
        <v>21</v>
      </c>
      <c r="K10" s="58">
        <v>300</v>
      </c>
    </row>
    <row r="11" spans="1:11" ht="16" x14ac:dyDescent="0.25">
      <c r="A11" s="50"/>
      <c r="B11" s="51"/>
      <c r="C11" s="52"/>
    </row>
    <row r="12" spans="1:11" ht="22" x14ac:dyDescent="0.3">
      <c r="A12" s="50"/>
      <c r="B12" s="51"/>
      <c r="C12" s="52"/>
      <c r="E12" s="16" t="s">
        <v>13</v>
      </c>
      <c r="G12" s="22">
        <f>SUM(B3:B1048576)</f>
        <v>300</v>
      </c>
    </row>
    <row r="13" spans="1:11" ht="16" x14ac:dyDescent="0.25">
      <c r="A13" s="50"/>
      <c r="B13" s="51"/>
      <c r="C13" s="52"/>
    </row>
    <row r="14" spans="1:11" ht="16" x14ac:dyDescent="0.25">
      <c r="A14" s="50"/>
      <c r="B14" s="51"/>
      <c r="C14" s="52"/>
    </row>
    <row r="15" spans="1:11" ht="16" x14ac:dyDescent="0.25">
      <c r="A15" s="50"/>
      <c r="B15" s="51"/>
      <c r="C15" s="52"/>
    </row>
    <row r="16" spans="1:11" ht="16" x14ac:dyDescent="0.25">
      <c r="A16" s="50"/>
      <c r="B16" s="51"/>
      <c r="C16" s="52"/>
    </row>
    <row r="17" spans="1:3" ht="16" x14ac:dyDescent="0.25">
      <c r="A17" s="50"/>
      <c r="B17" s="51"/>
      <c r="C17" s="52"/>
    </row>
    <row r="18" spans="1:3" ht="16" x14ac:dyDescent="0.25">
      <c r="A18" s="50"/>
      <c r="B18" s="51"/>
      <c r="C18" s="52"/>
    </row>
    <row r="19" spans="1:3" ht="16" x14ac:dyDescent="0.25">
      <c r="A19" s="50"/>
      <c r="B19" s="51"/>
      <c r="C19" s="52"/>
    </row>
    <row r="20" spans="1:3" ht="16" x14ac:dyDescent="0.25">
      <c r="A20" s="50"/>
      <c r="B20" s="51"/>
      <c r="C20" s="52"/>
    </row>
    <row r="21" spans="1:3" ht="16" x14ac:dyDescent="0.25">
      <c r="A21" s="47"/>
      <c r="B21" s="48"/>
      <c r="C21" s="49"/>
    </row>
    <row r="22" spans="1:3" ht="16" x14ac:dyDescent="0.25">
      <c r="A22" s="47"/>
      <c r="B22" s="48"/>
      <c r="C22" s="49"/>
    </row>
    <row r="23" spans="1:3" ht="16" x14ac:dyDescent="0.25">
      <c r="A23" s="33"/>
      <c r="B23" s="20"/>
      <c r="C23" s="21"/>
    </row>
    <row r="24" spans="1:3" ht="16" x14ac:dyDescent="0.25">
      <c r="A24" s="33"/>
      <c r="B24" s="20"/>
      <c r="C24" s="21"/>
    </row>
    <row r="25" spans="1:3" ht="16" x14ac:dyDescent="0.25">
      <c r="A25" s="33"/>
      <c r="B25" s="20"/>
      <c r="C25" s="21"/>
    </row>
    <row r="26" spans="1:3" ht="16" x14ac:dyDescent="0.25">
      <c r="A26" s="33"/>
      <c r="B26" s="20"/>
      <c r="C26" s="21"/>
    </row>
    <row r="27" spans="1:3" ht="16" x14ac:dyDescent="0.25">
      <c r="A27" s="33"/>
      <c r="B27" s="20"/>
      <c r="C27" s="21"/>
    </row>
    <row r="28" spans="1:3" ht="16" x14ac:dyDescent="0.25">
      <c r="A28" s="33"/>
      <c r="B28" s="20"/>
      <c r="C28" s="21"/>
    </row>
    <row r="29" spans="1:3" ht="16" x14ac:dyDescent="0.25">
      <c r="A29" s="30"/>
      <c r="B29" s="20"/>
      <c r="C29" s="21"/>
    </row>
    <row r="30" spans="1:3" ht="16" x14ac:dyDescent="0.25">
      <c r="A30" s="30"/>
      <c r="B30" s="20"/>
      <c r="C30" s="21"/>
    </row>
    <row r="31" spans="1:3" ht="16" x14ac:dyDescent="0.25">
      <c r="A31" s="30"/>
      <c r="B31" s="20"/>
      <c r="C31" s="21"/>
    </row>
    <row r="32" spans="1:3" ht="16" x14ac:dyDescent="0.25">
      <c r="A32" s="30"/>
      <c r="B32" s="20"/>
      <c r="C32" s="21"/>
    </row>
    <row r="33" spans="1:3" ht="16" x14ac:dyDescent="0.25">
      <c r="A33" s="30"/>
      <c r="B33" s="20"/>
      <c r="C33" s="21"/>
    </row>
    <row r="34" spans="1:3" ht="16" x14ac:dyDescent="0.25">
      <c r="A34" s="30"/>
      <c r="B34" s="20"/>
      <c r="C34" s="21"/>
    </row>
    <row r="35" spans="1:3" ht="16" x14ac:dyDescent="0.25">
      <c r="A35" s="30"/>
      <c r="B35" s="20"/>
      <c r="C35" s="21"/>
    </row>
    <row r="36" spans="1:3" ht="16" x14ac:dyDescent="0.25">
      <c r="A36" s="30"/>
      <c r="B36" s="20"/>
      <c r="C36" s="21"/>
    </row>
    <row r="37" spans="1:3" ht="16" x14ac:dyDescent="0.25">
      <c r="A37" s="30"/>
      <c r="B37" s="20"/>
      <c r="C37" s="21"/>
    </row>
    <row r="38" spans="1:3" ht="16" x14ac:dyDescent="0.25">
      <c r="A38" s="30"/>
      <c r="B38" s="20"/>
      <c r="C38" s="21"/>
    </row>
    <row r="39" spans="1:3" ht="16" x14ac:dyDescent="0.25">
      <c r="A39" s="30"/>
      <c r="B39" s="20"/>
      <c r="C39" s="21"/>
    </row>
    <row r="40" spans="1:3" ht="16" x14ac:dyDescent="0.25">
      <c r="A40" s="30"/>
      <c r="B40" s="20"/>
      <c r="C40" s="21"/>
    </row>
    <row r="41" spans="1:3" ht="16" x14ac:dyDescent="0.25">
      <c r="A41" s="30"/>
      <c r="B41" s="20"/>
      <c r="C41" s="21"/>
    </row>
    <row r="42" spans="1:3" ht="16" x14ac:dyDescent="0.25">
      <c r="A42" s="30"/>
      <c r="B42" s="20"/>
      <c r="C42" s="21"/>
    </row>
    <row r="43" spans="1:3" ht="16" x14ac:dyDescent="0.25">
      <c r="A43" s="30"/>
      <c r="B43" s="20"/>
      <c r="C43" s="21"/>
    </row>
    <row r="44" spans="1:3" ht="16" x14ac:dyDescent="0.25">
      <c r="A44" s="30"/>
      <c r="B44" s="20"/>
      <c r="C44" s="21"/>
    </row>
    <row r="45" spans="1:3" ht="16" x14ac:dyDescent="0.25">
      <c r="A45" s="30"/>
      <c r="B45" s="20"/>
      <c r="C45" s="21"/>
    </row>
    <row r="46" spans="1:3" ht="16" x14ac:dyDescent="0.25">
      <c r="A46" s="30"/>
      <c r="B46" s="20"/>
      <c r="C46" s="21"/>
    </row>
    <row r="47" spans="1:3" ht="16" x14ac:dyDescent="0.25">
      <c r="A47" s="30"/>
      <c r="B47" s="20"/>
      <c r="C47" s="21"/>
    </row>
    <row r="48" spans="1:3" ht="16" x14ac:dyDescent="0.25">
      <c r="A48" s="30"/>
      <c r="B48" s="20"/>
      <c r="C48" s="21"/>
    </row>
    <row r="49" spans="1:3" ht="16" x14ac:dyDescent="0.25">
      <c r="A49" s="30"/>
      <c r="B49" s="20"/>
      <c r="C49" s="21"/>
    </row>
    <row r="50" spans="1:3" ht="16" x14ac:dyDescent="0.25">
      <c r="A50" s="30"/>
      <c r="B50" s="20"/>
      <c r="C50" s="21"/>
    </row>
    <row r="51" spans="1:3" ht="16" x14ac:dyDescent="0.25">
      <c r="A51" s="30"/>
      <c r="B51" s="20"/>
      <c r="C51" s="21"/>
    </row>
    <row r="52" spans="1:3" ht="16" x14ac:dyDescent="0.25">
      <c r="A52" s="30"/>
      <c r="B52" s="20"/>
      <c r="C52" s="21"/>
    </row>
    <row r="53" spans="1:3" ht="16" x14ac:dyDescent="0.25">
      <c r="A53" s="30"/>
      <c r="B53" s="20"/>
      <c r="C53" s="21"/>
    </row>
    <row r="54" spans="1:3" ht="16" x14ac:dyDescent="0.25">
      <c r="A54" s="30"/>
      <c r="B54" s="20"/>
      <c r="C54" s="21"/>
    </row>
    <row r="55" spans="1:3" ht="16" x14ac:dyDescent="0.25">
      <c r="A55" s="30"/>
      <c r="B55" s="20"/>
      <c r="C55" s="21"/>
    </row>
    <row r="56" spans="1:3" ht="16" x14ac:dyDescent="0.25">
      <c r="A56" s="30"/>
      <c r="B56" s="20"/>
      <c r="C56" s="21"/>
    </row>
    <row r="57" spans="1:3" ht="16" x14ac:dyDescent="0.25">
      <c r="A57" s="30"/>
      <c r="B57" s="20"/>
      <c r="C57" s="21"/>
    </row>
    <row r="58" spans="1:3" ht="16" x14ac:dyDescent="0.25">
      <c r="A58" s="30"/>
      <c r="B58" s="20"/>
      <c r="C58" s="21"/>
    </row>
    <row r="59" spans="1:3" ht="16" x14ac:dyDescent="0.25">
      <c r="A59" s="30"/>
      <c r="B59" s="20"/>
      <c r="C59" s="21"/>
    </row>
    <row r="60" spans="1:3" ht="16" x14ac:dyDescent="0.25">
      <c r="A60" s="30"/>
      <c r="B60" s="20"/>
      <c r="C60" s="21"/>
    </row>
    <row r="61" spans="1:3" ht="16" x14ac:dyDescent="0.25">
      <c r="A61" s="30"/>
      <c r="B61" s="20"/>
      <c r="C61" s="21"/>
    </row>
    <row r="62" spans="1:3" ht="16" x14ac:dyDescent="0.25">
      <c r="A62" s="30"/>
      <c r="B62" s="20"/>
      <c r="C62" s="21"/>
    </row>
    <row r="63" spans="1:3" ht="16" x14ac:dyDescent="0.25">
      <c r="A63" s="30"/>
      <c r="B63" s="20"/>
      <c r="C63" s="21"/>
    </row>
    <row r="64" spans="1:3" ht="16" x14ac:dyDescent="0.25">
      <c r="A64" s="30"/>
      <c r="B64" s="20"/>
      <c r="C64" s="21"/>
    </row>
    <row r="65" spans="1:3" ht="16" x14ac:dyDescent="0.25">
      <c r="A65" s="30"/>
      <c r="B65" s="20"/>
      <c r="C65" s="21"/>
    </row>
    <row r="66" spans="1:3" ht="16" x14ac:dyDescent="0.25">
      <c r="A66" s="30"/>
      <c r="B66" s="20"/>
      <c r="C66" s="21"/>
    </row>
    <row r="67" spans="1:3" ht="16" x14ac:dyDescent="0.25">
      <c r="A67" s="30"/>
      <c r="B67" s="20"/>
      <c r="C67" s="21"/>
    </row>
    <row r="68" spans="1:3" ht="16" x14ac:dyDescent="0.25">
      <c r="A68" s="30"/>
      <c r="B68" s="20"/>
      <c r="C68" s="21"/>
    </row>
    <row r="69" spans="1:3" ht="16" x14ac:dyDescent="0.25">
      <c r="A69" s="30"/>
      <c r="B69" s="20"/>
      <c r="C69" s="21"/>
    </row>
    <row r="70" spans="1:3" ht="16" x14ac:dyDescent="0.25">
      <c r="A70" s="30"/>
      <c r="B70" s="20"/>
      <c r="C70" s="21"/>
    </row>
    <row r="71" spans="1:3" ht="16" x14ac:dyDescent="0.25">
      <c r="A71" s="30"/>
      <c r="B71" s="20"/>
      <c r="C71" s="21"/>
    </row>
    <row r="72" spans="1:3" ht="16" x14ac:dyDescent="0.25">
      <c r="A72" s="30"/>
      <c r="B72" s="20"/>
      <c r="C72" s="21"/>
    </row>
    <row r="73" spans="1:3" x14ac:dyDescent="0.2">
      <c r="A73" s="31"/>
      <c r="B73" s="14"/>
      <c r="C73" s="11"/>
    </row>
    <row r="74" spans="1:3" x14ac:dyDescent="0.2">
      <c r="A74" s="31"/>
      <c r="B74" s="14"/>
      <c r="C74" s="11"/>
    </row>
    <row r="75" spans="1:3" x14ac:dyDescent="0.2">
      <c r="A75" s="31"/>
      <c r="B75" s="14"/>
      <c r="C75" s="11"/>
    </row>
    <row r="76" spans="1:3" x14ac:dyDescent="0.2">
      <c r="A76" s="31"/>
      <c r="B76" s="14"/>
      <c r="C76" s="11"/>
    </row>
    <row r="77" spans="1:3" x14ac:dyDescent="0.2">
      <c r="A77" s="31"/>
      <c r="B77" s="14"/>
      <c r="C77" s="11"/>
    </row>
    <row r="78" spans="1:3" x14ac:dyDescent="0.2">
      <c r="A78" s="31"/>
      <c r="B78" s="14"/>
      <c r="C78" s="11"/>
    </row>
    <row r="79" spans="1:3" x14ac:dyDescent="0.2">
      <c r="A79" s="31"/>
      <c r="B79" s="14"/>
      <c r="C79" s="11"/>
    </row>
    <row r="80" spans="1:3" x14ac:dyDescent="0.2">
      <c r="A80" s="31"/>
      <c r="B80" s="14"/>
      <c r="C80" s="11"/>
    </row>
    <row r="81" spans="1:3" x14ac:dyDescent="0.2">
      <c r="A81" s="31"/>
      <c r="B81" s="14"/>
      <c r="C81" s="11"/>
    </row>
    <row r="82" spans="1:3" x14ac:dyDescent="0.2">
      <c r="A82" s="31"/>
      <c r="B82" s="14"/>
      <c r="C82" s="11"/>
    </row>
    <row r="83" spans="1:3" x14ac:dyDescent="0.2">
      <c r="A83" s="31"/>
      <c r="B83" s="14"/>
      <c r="C83" s="11"/>
    </row>
    <row r="84" spans="1:3" x14ac:dyDescent="0.2">
      <c r="A84" s="31"/>
      <c r="B84" s="14"/>
      <c r="C84" s="11"/>
    </row>
    <row r="85" spans="1:3" x14ac:dyDescent="0.2">
      <c r="A85" s="31"/>
      <c r="B85" s="14"/>
      <c r="C85" s="11"/>
    </row>
    <row r="86" spans="1:3" x14ac:dyDescent="0.2">
      <c r="A86" s="31"/>
      <c r="B86" s="14"/>
      <c r="C86" s="11"/>
    </row>
    <row r="87" spans="1:3" x14ac:dyDescent="0.2">
      <c r="A87" s="31"/>
      <c r="B87" s="14"/>
      <c r="C87" s="11"/>
    </row>
    <row r="88" spans="1:3" x14ac:dyDescent="0.2">
      <c r="A88" s="31"/>
      <c r="B88" s="14"/>
      <c r="C88" s="11"/>
    </row>
    <row r="89" spans="1:3" x14ac:dyDescent="0.2">
      <c r="A89" s="31"/>
      <c r="B89" s="14"/>
      <c r="C89" s="11"/>
    </row>
    <row r="90" spans="1:3" x14ac:dyDescent="0.2">
      <c r="A90" s="31"/>
      <c r="B90" s="14"/>
      <c r="C90" s="11"/>
    </row>
    <row r="91" spans="1:3" x14ac:dyDescent="0.2">
      <c r="A91" s="31"/>
      <c r="B91" s="14"/>
      <c r="C91" s="11"/>
    </row>
    <row r="92" spans="1:3" x14ac:dyDescent="0.2">
      <c r="A92" s="31"/>
      <c r="B92" s="14"/>
      <c r="C92" s="11"/>
    </row>
    <row r="93" spans="1:3" x14ac:dyDescent="0.2">
      <c r="A93" s="31"/>
      <c r="B93" s="14"/>
      <c r="C93" s="11"/>
    </row>
    <row r="94" spans="1:3" x14ac:dyDescent="0.2">
      <c r="A94" s="31"/>
      <c r="B94" s="14"/>
      <c r="C94" s="11"/>
    </row>
    <row r="95" spans="1:3" x14ac:dyDescent="0.2">
      <c r="A95" s="31"/>
      <c r="B95" s="14"/>
      <c r="C95" s="11"/>
    </row>
    <row r="96" spans="1:3" x14ac:dyDescent="0.2">
      <c r="A96" s="31"/>
      <c r="B96" s="14"/>
      <c r="C96" s="11"/>
    </row>
    <row r="97" spans="1:3" x14ac:dyDescent="0.2">
      <c r="A97" s="31"/>
      <c r="B97" s="14"/>
      <c r="C97" s="11"/>
    </row>
    <row r="98" spans="1:3" x14ac:dyDescent="0.2">
      <c r="A98" s="31"/>
      <c r="B98" s="14"/>
      <c r="C98" s="11"/>
    </row>
    <row r="99" spans="1:3" x14ac:dyDescent="0.2">
      <c r="A99" s="31"/>
      <c r="B99" s="14"/>
      <c r="C99" s="11"/>
    </row>
    <row r="100" spans="1:3" x14ac:dyDescent="0.2">
      <c r="A100" s="31"/>
      <c r="B100" s="14"/>
      <c r="C100" s="11"/>
    </row>
    <row r="101" spans="1:3" x14ac:dyDescent="0.2">
      <c r="A101" s="31"/>
      <c r="B101" s="14"/>
      <c r="C101" s="11"/>
    </row>
    <row r="102" spans="1:3" x14ac:dyDescent="0.2">
      <c r="A102" s="31"/>
      <c r="B102" s="14"/>
      <c r="C102" s="11"/>
    </row>
    <row r="103" spans="1:3" x14ac:dyDescent="0.2">
      <c r="A103" s="31"/>
      <c r="B103" s="14"/>
      <c r="C103" s="11"/>
    </row>
    <row r="104" spans="1:3" x14ac:dyDescent="0.2">
      <c r="A104" s="31"/>
      <c r="B104" s="14"/>
      <c r="C104" s="11"/>
    </row>
    <row r="105" spans="1:3" x14ac:dyDescent="0.2">
      <c r="A105" s="31"/>
      <c r="B105" s="14"/>
      <c r="C105" s="11"/>
    </row>
    <row r="106" spans="1:3" x14ac:dyDescent="0.2">
      <c r="A106" s="31"/>
      <c r="B106" s="14"/>
      <c r="C106" s="11"/>
    </row>
    <row r="107" spans="1:3" x14ac:dyDescent="0.2">
      <c r="A107" s="31"/>
      <c r="B107" s="14"/>
      <c r="C107" s="11"/>
    </row>
    <row r="108" spans="1:3" x14ac:dyDescent="0.2">
      <c r="A108" s="31"/>
      <c r="B108" s="14"/>
      <c r="C108" s="11"/>
    </row>
    <row r="109" spans="1:3" x14ac:dyDescent="0.2">
      <c r="A109" s="31"/>
      <c r="B109" s="14"/>
      <c r="C109" s="11"/>
    </row>
    <row r="110" spans="1:3" x14ac:dyDescent="0.2">
      <c r="A110" s="31"/>
      <c r="B110" s="14"/>
      <c r="C110" s="11"/>
    </row>
    <row r="111" spans="1:3" x14ac:dyDescent="0.2">
      <c r="A111" s="31"/>
      <c r="B111" s="14"/>
      <c r="C111" s="11"/>
    </row>
    <row r="112" spans="1:3" x14ac:dyDescent="0.2">
      <c r="A112" s="31"/>
      <c r="B112" s="14"/>
      <c r="C112" s="11"/>
    </row>
    <row r="113" spans="1:3" x14ac:dyDescent="0.2">
      <c r="A113" s="31"/>
      <c r="B113" s="14"/>
      <c r="C113" s="11"/>
    </row>
    <row r="114" spans="1:3" x14ac:dyDescent="0.2">
      <c r="A114" s="31"/>
      <c r="B114" s="14"/>
      <c r="C114" s="11"/>
    </row>
    <row r="115" spans="1:3" x14ac:dyDescent="0.2">
      <c r="A115" s="31"/>
      <c r="B115" s="14"/>
      <c r="C115" s="11"/>
    </row>
    <row r="116" spans="1:3" x14ac:dyDescent="0.2">
      <c r="A116" s="31"/>
      <c r="B116" s="14"/>
      <c r="C116" s="11"/>
    </row>
    <row r="117" spans="1:3" x14ac:dyDescent="0.2">
      <c r="A117" s="31"/>
      <c r="B117" s="14"/>
      <c r="C117" s="11"/>
    </row>
    <row r="118" spans="1:3" x14ac:dyDescent="0.2">
      <c r="A118" s="31"/>
      <c r="B118" s="14"/>
      <c r="C118" s="11"/>
    </row>
    <row r="119" spans="1:3" x14ac:dyDescent="0.2">
      <c r="A119" s="31"/>
      <c r="B119" s="14"/>
      <c r="C119" s="11"/>
    </row>
    <row r="120" spans="1:3" x14ac:dyDescent="0.2">
      <c r="A120" s="31"/>
      <c r="B120" s="14"/>
      <c r="C120" s="11"/>
    </row>
    <row r="121" spans="1:3" x14ac:dyDescent="0.2">
      <c r="A121" s="31"/>
      <c r="B121" s="14"/>
      <c r="C121" s="11"/>
    </row>
    <row r="122" spans="1:3" x14ac:dyDescent="0.2">
      <c r="A122" s="31"/>
      <c r="B122" s="14"/>
      <c r="C122" s="11"/>
    </row>
    <row r="123" spans="1:3" x14ac:dyDescent="0.2">
      <c r="A123" s="31"/>
      <c r="B123" s="14"/>
      <c r="C123" s="11"/>
    </row>
    <row r="124" spans="1:3" x14ac:dyDescent="0.2">
      <c r="A124" s="31"/>
      <c r="B124" s="14"/>
      <c r="C124" s="11"/>
    </row>
    <row r="125" spans="1:3" x14ac:dyDescent="0.2">
      <c r="A125" s="31"/>
      <c r="B125" s="14"/>
      <c r="C125" s="11"/>
    </row>
    <row r="126" spans="1:3" x14ac:dyDescent="0.2">
      <c r="A126" s="31"/>
      <c r="B126" s="14"/>
      <c r="C126" s="11"/>
    </row>
    <row r="127" spans="1:3" x14ac:dyDescent="0.2">
      <c r="A127" s="31"/>
      <c r="B127" s="14"/>
      <c r="C127" s="11"/>
    </row>
    <row r="128" spans="1:3" x14ac:dyDescent="0.2">
      <c r="A128" s="31"/>
      <c r="B128" s="14"/>
      <c r="C128" s="11"/>
    </row>
    <row r="129" spans="1:3" x14ac:dyDescent="0.2">
      <c r="A129" s="31"/>
      <c r="B129" s="14"/>
      <c r="C129" s="11"/>
    </row>
    <row r="130" spans="1:3" x14ac:dyDescent="0.2">
      <c r="A130" s="31"/>
      <c r="B130" s="14"/>
      <c r="C130" s="11"/>
    </row>
    <row r="131" spans="1:3" x14ac:dyDescent="0.2">
      <c r="A131" s="31"/>
      <c r="B131" s="14"/>
      <c r="C131" s="11"/>
    </row>
    <row r="132" spans="1:3" x14ac:dyDescent="0.2">
      <c r="A132" s="31"/>
      <c r="B132" s="14"/>
      <c r="C132" s="11"/>
    </row>
    <row r="133" spans="1:3" x14ac:dyDescent="0.2">
      <c r="A133" s="31"/>
      <c r="B133" s="14"/>
      <c r="C133" s="11"/>
    </row>
    <row r="134" spans="1:3" x14ac:dyDescent="0.2">
      <c r="A134" s="31"/>
      <c r="B134" s="14"/>
      <c r="C134" s="11"/>
    </row>
    <row r="135" spans="1:3" x14ac:dyDescent="0.2">
      <c r="A135" s="31"/>
      <c r="B135" s="14"/>
      <c r="C135" s="11"/>
    </row>
    <row r="136" spans="1:3" x14ac:dyDescent="0.2">
      <c r="A136" s="31"/>
      <c r="B136" s="14"/>
      <c r="C136" s="11"/>
    </row>
    <row r="137" spans="1:3" x14ac:dyDescent="0.2">
      <c r="A137" s="31"/>
      <c r="B137" s="14"/>
      <c r="C137" s="11"/>
    </row>
    <row r="138" spans="1:3" x14ac:dyDescent="0.2">
      <c r="A138" s="31"/>
      <c r="B138" s="14"/>
      <c r="C138" s="11"/>
    </row>
    <row r="139" spans="1:3" x14ac:dyDescent="0.2">
      <c r="A139" s="31"/>
      <c r="B139" s="14"/>
      <c r="C139" s="11"/>
    </row>
    <row r="140" spans="1:3" x14ac:dyDescent="0.2">
      <c r="A140" s="31"/>
      <c r="B140" s="14"/>
      <c r="C140" s="11"/>
    </row>
    <row r="141" spans="1:3" x14ac:dyDescent="0.2">
      <c r="A141" s="31"/>
      <c r="B141" s="14"/>
      <c r="C141" s="11"/>
    </row>
    <row r="142" spans="1:3" x14ac:dyDescent="0.2">
      <c r="A142" s="31"/>
      <c r="B142" s="14"/>
      <c r="C142" s="11"/>
    </row>
    <row r="143" spans="1:3" x14ac:dyDescent="0.2">
      <c r="A143" s="31"/>
      <c r="B143" s="14"/>
      <c r="C143" s="11"/>
    </row>
    <row r="144" spans="1:3" x14ac:dyDescent="0.2">
      <c r="A144" s="31"/>
      <c r="B144" s="14"/>
      <c r="C144" s="11"/>
    </row>
    <row r="145" spans="1:3" x14ac:dyDescent="0.2">
      <c r="A145" s="31"/>
      <c r="B145" s="14"/>
      <c r="C145" s="11"/>
    </row>
    <row r="146" spans="1:3" x14ac:dyDescent="0.2">
      <c r="A146" s="31"/>
      <c r="B146" s="14"/>
      <c r="C146" s="11"/>
    </row>
    <row r="147" spans="1:3" x14ac:dyDescent="0.2">
      <c r="A147" s="31"/>
      <c r="B147" s="14"/>
      <c r="C147" s="11"/>
    </row>
    <row r="148" spans="1:3" x14ac:dyDescent="0.2">
      <c r="A148" s="31"/>
      <c r="B148" s="14"/>
      <c r="C148" s="11"/>
    </row>
    <row r="149" spans="1:3" x14ac:dyDescent="0.2">
      <c r="A149" s="31"/>
      <c r="B149" s="14"/>
      <c r="C149" s="11"/>
    </row>
    <row r="150" spans="1:3" x14ac:dyDescent="0.2">
      <c r="A150" s="31"/>
      <c r="B150" s="14"/>
      <c r="C150" s="11"/>
    </row>
    <row r="151" spans="1:3" x14ac:dyDescent="0.2">
      <c r="A151" s="31"/>
      <c r="B151" s="14"/>
      <c r="C151" s="11"/>
    </row>
    <row r="152" spans="1:3" x14ac:dyDescent="0.2">
      <c r="A152" s="31"/>
      <c r="B152" s="14"/>
      <c r="C152" s="11"/>
    </row>
    <row r="153" spans="1:3" x14ac:dyDescent="0.2">
      <c r="A153" s="31"/>
      <c r="B153" s="14"/>
      <c r="C153" s="11"/>
    </row>
    <row r="154" spans="1:3" x14ac:dyDescent="0.2">
      <c r="A154" s="31"/>
      <c r="B154" s="14"/>
      <c r="C154" s="11"/>
    </row>
    <row r="155" spans="1:3" x14ac:dyDescent="0.2">
      <c r="A155" s="31"/>
      <c r="B155" s="14"/>
      <c r="C155" s="11"/>
    </row>
    <row r="156" spans="1:3" x14ac:dyDescent="0.2">
      <c r="A156" s="31"/>
      <c r="B156" s="14"/>
      <c r="C156" s="11"/>
    </row>
    <row r="157" spans="1:3" x14ac:dyDescent="0.2">
      <c r="A157" s="31"/>
      <c r="B157" s="14"/>
      <c r="C157" s="11"/>
    </row>
    <row r="158" spans="1:3" x14ac:dyDescent="0.2">
      <c r="A158" s="31"/>
      <c r="B158" s="14"/>
      <c r="C158" s="11"/>
    </row>
    <row r="159" spans="1:3" x14ac:dyDescent="0.2">
      <c r="A159" s="31"/>
      <c r="B159" s="14"/>
      <c r="C159" s="11"/>
    </row>
    <row r="160" spans="1:3" x14ac:dyDescent="0.2">
      <c r="A160" s="31"/>
      <c r="B160" s="14"/>
      <c r="C160" s="11"/>
    </row>
    <row r="161" spans="1:3" x14ac:dyDescent="0.2">
      <c r="A161" s="31"/>
      <c r="B161" s="14"/>
      <c r="C161" s="11"/>
    </row>
    <row r="162" spans="1:3" x14ac:dyDescent="0.2">
      <c r="A162" s="31"/>
      <c r="B162" s="14"/>
      <c r="C162" s="11"/>
    </row>
    <row r="163" spans="1:3" x14ac:dyDescent="0.2">
      <c r="A163" s="31"/>
      <c r="B163" s="14"/>
      <c r="C163" s="11"/>
    </row>
    <row r="164" spans="1:3" x14ac:dyDescent="0.2">
      <c r="A164" s="31"/>
      <c r="B164" s="14"/>
      <c r="C164" s="11"/>
    </row>
    <row r="165" spans="1:3" x14ac:dyDescent="0.2">
      <c r="A165" s="31"/>
      <c r="B165" s="14"/>
      <c r="C165" s="11"/>
    </row>
    <row r="166" spans="1:3" x14ac:dyDescent="0.2">
      <c r="A166" s="31"/>
      <c r="B166" s="14"/>
      <c r="C166" s="11"/>
    </row>
    <row r="167" spans="1:3" x14ac:dyDescent="0.2">
      <c r="A167" s="31"/>
      <c r="B167" s="14"/>
      <c r="C167" s="11"/>
    </row>
    <row r="168" spans="1:3" x14ac:dyDescent="0.2">
      <c r="A168" s="31"/>
      <c r="B168" s="14"/>
      <c r="C168" s="11"/>
    </row>
    <row r="169" spans="1:3" x14ac:dyDescent="0.2">
      <c r="A169" s="31"/>
      <c r="B169" s="14"/>
      <c r="C169" s="11"/>
    </row>
    <row r="170" spans="1:3" x14ac:dyDescent="0.2">
      <c r="A170" s="31"/>
      <c r="B170" s="14"/>
      <c r="C170" s="11"/>
    </row>
    <row r="171" spans="1:3" x14ac:dyDescent="0.2">
      <c r="A171" s="31"/>
      <c r="B171" s="14"/>
      <c r="C171" s="11"/>
    </row>
    <row r="172" spans="1:3" x14ac:dyDescent="0.2">
      <c r="A172" s="31"/>
      <c r="B172" s="14"/>
      <c r="C172" s="11"/>
    </row>
    <row r="173" spans="1:3" x14ac:dyDescent="0.2">
      <c r="A173" s="31"/>
      <c r="B173" s="14"/>
      <c r="C173" s="11"/>
    </row>
    <row r="174" spans="1:3" x14ac:dyDescent="0.2">
      <c r="A174" s="31"/>
      <c r="B174" s="14"/>
      <c r="C174" s="11"/>
    </row>
    <row r="175" spans="1:3" x14ac:dyDescent="0.2">
      <c r="A175" s="31"/>
      <c r="B175" s="14"/>
      <c r="C175" s="11"/>
    </row>
    <row r="176" spans="1:3" x14ac:dyDescent="0.2">
      <c r="A176" s="31"/>
      <c r="B176" s="14"/>
      <c r="C176" s="11"/>
    </row>
    <row r="177" spans="1:3" x14ac:dyDescent="0.2">
      <c r="A177" s="31"/>
      <c r="B177" s="14"/>
      <c r="C177" s="11"/>
    </row>
    <row r="178" spans="1:3" x14ac:dyDescent="0.2">
      <c r="A178" s="31"/>
      <c r="B178" s="14"/>
      <c r="C178" s="11"/>
    </row>
    <row r="179" spans="1:3" x14ac:dyDescent="0.2">
      <c r="A179" s="31"/>
      <c r="B179" s="14"/>
      <c r="C179" s="11"/>
    </row>
    <row r="180" spans="1:3" x14ac:dyDescent="0.2">
      <c r="A180" s="31"/>
      <c r="B180" s="14"/>
      <c r="C180" s="11"/>
    </row>
    <row r="181" spans="1:3" x14ac:dyDescent="0.2">
      <c r="A181" s="31"/>
      <c r="B181" s="14"/>
      <c r="C181" s="11"/>
    </row>
    <row r="182" spans="1:3" x14ac:dyDescent="0.2">
      <c r="A182" s="31"/>
      <c r="B182" s="14"/>
      <c r="C182" s="11"/>
    </row>
    <row r="183" spans="1:3" x14ac:dyDescent="0.2">
      <c r="A183" s="31"/>
      <c r="B183" s="14"/>
      <c r="C183" s="11"/>
    </row>
    <row r="184" spans="1:3" x14ac:dyDescent="0.2">
      <c r="A184" s="31"/>
      <c r="B184" s="14"/>
      <c r="C184" s="11"/>
    </row>
    <row r="185" spans="1:3" x14ac:dyDescent="0.2">
      <c r="A185" s="31"/>
      <c r="B185" s="14"/>
      <c r="C185" s="11"/>
    </row>
    <row r="186" spans="1:3" x14ac:dyDescent="0.2">
      <c r="A186" s="31"/>
      <c r="B186" s="14"/>
      <c r="C186" s="11"/>
    </row>
    <row r="187" spans="1:3" x14ac:dyDescent="0.2">
      <c r="A187" s="31"/>
      <c r="B187" s="14"/>
      <c r="C187" s="11"/>
    </row>
    <row r="188" spans="1:3" x14ac:dyDescent="0.2">
      <c r="A188" s="31"/>
      <c r="B188" s="14"/>
      <c r="C188" s="11"/>
    </row>
    <row r="189" spans="1:3" x14ac:dyDescent="0.2">
      <c r="A189" s="31"/>
      <c r="B189" s="14"/>
      <c r="C189" s="11"/>
    </row>
    <row r="190" spans="1:3" x14ac:dyDescent="0.2">
      <c r="A190" s="31"/>
      <c r="B190" s="14"/>
      <c r="C190" s="11"/>
    </row>
    <row r="191" spans="1:3" x14ac:dyDescent="0.2">
      <c r="A191" s="31"/>
      <c r="B191" s="14"/>
      <c r="C191" s="11"/>
    </row>
    <row r="192" spans="1:3" x14ac:dyDescent="0.2">
      <c r="A192" s="31"/>
      <c r="B192" s="14"/>
      <c r="C192" s="11"/>
    </row>
    <row r="193" spans="1:3" x14ac:dyDescent="0.2">
      <c r="A193" s="31"/>
      <c r="B193" s="14"/>
      <c r="C193" s="11"/>
    </row>
    <row r="194" spans="1:3" x14ac:dyDescent="0.2">
      <c r="A194" s="31"/>
      <c r="B194" s="14"/>
      <c r="C194" s="11"/>
    </row>
    <row r="195" spans="1:3" x14ac:dyDescent="0.2">
      <c r="A195" s="31"/>
      <c r="B195" s="14"/>
      <c r="C195" s="11"/>
    </row>
    <row r="196" spans="1:3" x14ac:dyDescent="0.2">
      <c r="A196" s="31"/>
      <c r="B196" s="14"/>
      <c r="C196" s="11"/>
    </row>
    <row r="197" spans="1:3" x14ac:dyDescent="0.2">
      <c r="A197" s="31"/>
      <c r="B197" s="14"/>
      <c r="C197" s="11"/>
    </row>
    <row r="198" spans="1:3" x14ac:dyDescent="0.2">
      <c r="A198" s="31"/>
      <c r="B198" s="14"/>
      <c r="C198" s="11"/>
    </row>
    <row r="199" spans="1:3" x14ac:dyDescent="0.2">
      <c r="A199" s="31"/>
      <c r="B199" s="14"/>
      <c r="C199" s="11"/>
    </row>
    <row r="200" spans="1:3" x14ac:dyDescent="0.2">
      <c r="A200" s="31"/>
      <c r="B200" s="14"/>
      <c r="C200" s="11"/>
    </row>
    <row r="201" spans="1:3" x14ac:dyDescent="0.2">
      <c r="A201" s="31"/>
      <c r="B201" s="14"/>
      <c r="C201" s="11"/>
    </row>
    <row r="202" spans="1:3" x14ac:dyDescent="0.2">
      <c r="A202" s="31"/>
      <c r="B202" s="14"/>
      <c r="C202" s="11"/>
    </row>
    <row r="203" spans="1:3" x14ac:dyDescent="0.2">
      <c r="A203" s="31"/>
      <c r="B203" s="14"/>
      <c r="C203" s="11"/>
    </row>
    <row r="204" spans="1:3" x14ac:dyDescent="0.2">
      <c r="A204" s="31"/>
      <c r="B204" s="14"/>
      <c r="C204" s="11"/>
    </row>
    <row r="205" spans="1:3" x14ac:dyDescent="0.2">
      <c r="A205" s="31"/>
      <c r="B205" s="14"/>
      <c r="C205" s="11"/>
    </row>
    <row r="206" spans="1:3" x14ac:dyDescent="0.2">
      <c r="A206" s="31"/>
      <c r="B206" s="14"/>
      <c r="C206" s="11"/>
    </row>
    <row r="207" spans="1:3" x14ac:dyDescent="0.2">
      <c r="A207" s="31"/>
      <c r="B207" s="14"/>
      <c r="C207" s="11"/>
    </row>
    <row r="208" spans="1:3" x14ac:dyDescent="0.2">
      <c r="A208" s="31"/>
      <c r="B208" s="14"/>
      <c r="C208" s="11"/>
    </row>
    <row r="209" spans="1:3" x14ac:dyDescent="0.2">
      <c r="A209" s="31"/>
      <c r="B209" s="14"/>
      <c r="C209" s="11"/>
    </row>
    <row r="210" spans="1:3" x14ac:dyDescent="0.2">
      <c r="A210" s="31"/>
      <c r="B210" s="14"/>
      <c r="C210" s="11"/>
    </row>
    <row r="211" spans="1:3" x14ac:dyDescent="0.2">
      <c r="A211" s="31"/>
      <c r="B211" s="14"/>
      <c r="C211" s="11"/>
    </row>
    <row r="212" spans="1:3" x14ac:dyDescent="0.2">
      <c r="A212" s="31"/>
      <c r="B212" s="14"/>
      <c r="C212" s="11"/>
    </row>
    <row r="213" spans="1:3" x14ac:dyDescent="0.2">
      <c r="A213" s="31"/>
      <c r="B213" s="14"/>
      <c r="C213" s="11"/>
    </row>
    <row r="214" spans="1:3" x14ac:dyDescent="0.2">
      <c r="A214" s="31"/>
      <c r="B214" s="14"/>
      <c r="C214" s="11"/>
    </row>
    <row r="215" spans="1:3" x14ac:dyDescent="0.2">
      <c r="A215" s="31"/>
      <c r="B215" s="14"/>
      <c r="C215" s="11"/>
    </row>
    <row r="216" spans="1:3" x14ac:dyDescent="0.2">
      <c r="A216" s="31"/>
      <c r="B216" s="14"/>
      <c r="C216" s="11"/>
    </row>
    <row r="217" spans="1:3" x14ac:dyDescent="0.2">
      <c r="A217" s="31"/>
      <c r="B217" s="14"/>
      <c r="C217" s="11"/>
    </row>
    <row r="218" spans="1:3" x14ac:dyDescent="0.2">
      <c r="A218" s="31"/>
      <c r="B218" s="14"/>
      <c r="C218" s="11"/>
    </row>
    <row r="219" spans="1:3" x14ac:dyDescent="0.2">
      <c r="A219" s="31"/>
      <c r="B219" s="14"/>
      <c r="C219" s="11"/>
    </row>
    <row r="220" spans="1:3" x14ac:dyDescent="0.2">
      <c r="A220" s="31"/>
      <c r="B220" s="14"/>
      <c r="C220" s="11"/>
    </row>
    <row r="221" spans="1:3" x14ac:dyDescent="0.2">
      <c r="A221" s="31"/>
      <c r="B221" s="14"/>
      <c r="C221" s="11"/>
    </row>
    <row r="222" spans="1:3" x14ac:dyDescent="0.2">
      <c r="A222" s="31"/>
      <c r="B222" s="14"/>
      <c r="C222" s="11"/>
    </row>
    <row r="223" spans="1:3" x14ac:dyDescent="0.2">
      <c r="A223" s="31"/>
      <c r="B223" s="14"/>
      <c r="C223" s="11"/>
    </row>
    <row r="224" spans="1:3" x14ac:dyDescent="0.2">
      <c r="A224" s="31"/>
      <c r="B224" s="14"/>
      <c r="C224" s="11"/>
    </row>
    <row r="225" spans="1:3" x14ac:dyDescent="0.2">
      <c r="A225" s="31"/>
      <c r="B225" s="14"/>
      <c r="C225" s="11"/>
    </row>
    <row r="226" spans="1:3" x14ac:dyDescent="0.2">
      <c r="A226" s="31"/>
      <c r="B226" s="14"/>
      <c r="C226" s="11"/>
    </row>
    <row r="227" spans="1:3" x14ac:dyDescent="0.2">
      <c r="A227" s="31"/>
      <c r="B227" s="14"/>
      <c r="C227" s="11"/>
    </row>
    <row r="228" spans="1:3" x14ac:dyDescent="0.2">
      <c r="A228" s="31"/>
      <c r="B228" s="14"/>
      <c r="C228" s="11"/>
    </row>
    <row r="229" spans="1:3" x14ac:dyDescent="0.2">
      <c r="A229" s="31"/>
      <c r="B229" s="14"/>
      <c r="C229" s="11"/>
    </row>
    <row r="230" spans="1:3" x14ac:dyDescent="0.2">
      <c r="A230" s="31"/>
      <c r="B230" s="14"/>
      <c r="C230" s="11"/>
    </row>
    <row r="231" spans="1:3" x14ac:dyDescent="0.2">
      <c r="A231" s="31"/>
      <c r="B231" s="14"/>
      <c r="C231" s="11"/>
    </row>
    <row r="232" spans="1:3" x14ac:dyDescent="0.2">
      <c r="A232" s="31"/>
      <c r="B232" s="14"/>
      <c r="C232" s="11"/>
    </row>
    <row r="233" spans="1:3" x14ac:dyDescent="0.2">
      <c r="A233" s="31"/>
      <c r="B233" s="14"/>
      <c r="C233" s="11"/>
    </row>
    <row r="234" spans="1:3" x14ac:dyDescent="0.2">
      <c r="A234" s="31"/>
      <c r="B234" s="14"/>
      <c r="C234" s="11"/>
    </row>
    <row r="235" spans="1:3" x14ac:dyDescent="0.2">
      <c r="A235" s="31"/>
      <c r="B235" s="14"/>
      <c r="C235" s="11"/>
    </row>
    <row r="236" spans="1:3" x14ac:dyDescent="0.2">
      <c r="A236" s="31"/>
      <c r="B236" s="14"/>
      <c r="C236" s="11"/>
    </row>
    <row r="237" spans="1:3" x14ac:dyDescent="0.2">
      <c r="A237" s="31"/>
      <c r="B237" s="14"/>
      <c r="C237" s="11"/>
    </row>
    <row r="238" spans="1:3" x14ac:dyDescent="0.2">
      <c r="A238" s="31"/>
      <c r="B238" s="14"/>
      <c r="C238" s="11"/>
    </row>
    <row r="239" spans="1:3" x14ac:dyDescent="0.2">
      <c r="A239" s="31"/>
      <c r="B239" s="14"/>
      <c r="C239" s="11"/>
    </row>
    <row r="240" spans="1:3" x14ac:dyDescent="0.2">
      <c r="A240" s="31"/>
      <c r="B240" s="14"/>
      <c r="C240" s="11"/>
    </row>
    <row r="241" spans="1:3" x14ac:dyDescent="0.2">
      <c r="A241" s="31"/>
      <c r="B241" s="14"/>
      <c r="C241" s="11"/>
    </row>
    <row r="242" spans="1:3" x14ac:dyDescent="0.2">
      <c r="A242" s="31"/>
      <c r="B242" s="14"/>
      <c r="C242" s="11"/>
    </row>
    <row r="243" spans="1:3" x14ac:dyDescent="0.2">
      <c r="A243" s="31"/>
      <c r="B243" s="14"/>
      <c r="C243" s="11"/>
    </row>
    <row r="244" spans="1:3" x14ac:dyDescent="0.2">
      <c r="A244" s="31"/>
      <c r="B244" s="14"/>
      <c r="C244" s="11"/>
    </row>
    <row r="245" spans="1:3" x14ac:dyDescent="0.2">
      <c r="A245" s="31"/>
      <c r="B245" s="14"/>
      <c r="C245" s="11"/>
    </row>
    <row r="246" spans="1:3" x14ac:dyDescent="0.2">
      <c r="A246" s="31"/>
      <c r="B246" s="14"/>
      <c r="C246" s="11"/>
    </row>
    <row r="247" spans="1:3" x14ac:dyDescent="0.2">
      <c r="A247" s="31"/>
      <c r="B247" s="14"/>
      <c r="C247" s="11"/>
    </row>
    <row r="248" spans="1:3" x14ac:dyDescent="0.2">
      <c r="A248" s="31"/>
      <c r="B248" s="14"/>
      <c r="C248" s="11"/>
    </row>
    <row r="249" spans="1:3" x14ac:dyDescent="0.2">
      <c r="A249" s="31"/>
      <c r="B249" s="14"/>
      <c r="C249" s="11"/>
    </row>
    <row r="250" spans="1:3" x14ac:dyDescent="0.2">
      <c r="A250" s="31"/>
      <c r="B250" s="14"/>
      <c r="C250" s="11"/>
    </row>
    <row r="251" spans="1:3" x14ac:dyDescent="0.2">
      <c r="A251" s="31"/>
      <c r="B251" s="14"/>
      <c r="C251" s="11"/>
    </row>
    <row r="252" spans="1:3" x14ac:dyDescent="0.2">
      <c r="A252" s="31"/>
      <c r="B252" s="14"/>
      <c r="C252" s="11"/>
    </row>
    <row r="253" spans="1:3" x14ac:dyDescent="0.2">
      <c r="A253" s="31"/>
      <c r="B253" s="14"/>
      <c r="C253" s="11"/>
    </row>
    <row r="254" spans="1:3" x14ac:dyDescent="0.2">
      <c r="A254" s="31"/>
      <c r="B254" s="14"/>
      <c r="C254" s="11"/>
    </row>
    <row r="255" spans="1:3" x14ac:dyDescent="0.2">
      <c r="A255" s="31"/>
      <c r="B255" s="14"/>
      <c r="C255" s="11"/>
    </row>
    <row r="256" spans="1:3" x14ac:dyDescent="0.2">
      <c r="A256" s="31"/>
      <c r="B256" s="14"/>
      <c r="C256" s="11"/>
    </row>
    <row r="257" spans="1:3" x14ac:dyDescent="0.2">
      <c r="A257" s="31"/>
      <c r="B257" s="14"/>
      <c r="C257" s="11"/>
    </row>
    <row r="258" spans="1:3" x14ac:dyDescent="0.2">
      <c r="A258" s="31"/>
      <c r="B258" s="14"/>
      <c r="C258" s="11"/>
    </row>
    <row r="259" spans="1:3" x14ac:dyDescent="0.2">
      <c r="A259" s="31"/>
      <c r="B259" s="14"/>
      <c r="C259" s="11"/>
    </row>
    <row r="260" spans="1:3" x14ac:dyDescent="0.2">
      <c r="A260" s="31"/>
      <c r="B260" s="14"/>
      <c r="C260" s="11"/>
    </row>
    <row r="261" spans="1:3" x14ac:dyDescent="0.2">
      <c r="A261" s="31"/>
      <c r="B261" s="14"/>
      <c r="C261" s="11"/>
    </row>
    <row r="262" spans="1:3" x14ac:dyDescent="0.2">
      <c r="A262" s="31"/>
      <c r="B262" s="14"/>
      <c r="C262" s="11"/>
    </row>
    <row r="263" spans="1:3" x14ac:dyDescent="0.2">
      <c r="A263" s="31"/>
      <c r="B263" s="14"/>
      <c r="C263" s="11"/>
    </row>
    <row r="264" spans="1:3" x14ac:dyDescent="0.2">
      <c r="A264" s="31"/>
      <c r="B264" s="14"/>
      <c r="C264" s="11"/>
    </row>
    <row r="265" spans="1:3" x14ac:dyDescent="0.2">
      <c r="A265" s="31"/>
      <c r="B265" s="14"/>
      <c r="C265" s="11"/>
    </row>
    <row r="266" spans="1:3" x14ac:dyDescent="0.2">
      <c r="A266" s="31"/>
      <c r="B266" s="14"/>
      <c r="C266" s="11"/>
    </row>
    <row r="267" spans="1:3" x14ac:dyDescent="0.2">
      <c r="A267" s="31"/>
      <c r="B267" s="14"/>
      <c r="C267" s="11"/>
    </row>
    <row r="268" spans="1:3" x14ac:dyDescent="0.2">
      <c r="A268" s="31"/>
      <c r="B268" s="14"/>
      <c r="C268" s="11"/>
    </row>
    <row r="269" spans="1:3" x14ac:dyDescent="0.2">
      <c r="A269" s="31"/>
      <c r="B269" s="14"/>
      <c r="C269" s="11"/>
    </row>
    <row r="270" spans="1:3" x14ac:dyDescent="0.2">
      <c r="A270" s="31"/>
      <c r="B270" s="14"/>
      <c r="C270" s="11"/>
    </row>
    <row r="271" spans="1:3" x14ac:dyDescent="0.2">
      <c r="A271" s="31"/>
      <c r="B271" s="14"/>
      <c r="C271" s="11"/>
    </row>
    <row r="272" spans="1:3" x14ac:dyDescent="0.2">
      <c r="A272" s="31"/>
      <c r="B272" s="14"/>
      <c r="C272" s="11"/>
    </row>
    <row r="273" spans="1:3" x14ac:dyDescent="0.2">
      <c r="A273" s="31"/>
      <c r="B273" s="14"/>
      <c r="C273" s="11"/>
    </row>
    <row r="274" spans="1:3" x14ac:dyDescent="0.2">
      <c r="A274" s="31"/>
      <c r="B274" s="14"/>
      <c r="C274" s="11"/>
    </row>
    <row r="275" spans="1:3" x14ac:dyDescent="0.2">
      <c r="A275" s="31"/>
      <c r="B275" s="14"/>
      <c r="C275" s="11"/>
    </row>
    <row r="276" spans="1:3" x14ac:dyDescent="0.2">
      <c r="A276" s="31"/>
      <c r="B276" s="14"/>
      <c r="C276" s="11"/>
    </row>
    <row r="277" spans="1:3" x14ac:dyDescent="0.2">
      <c r="A277" s="31"/>
      <c r="B277" s="14"/>
      <c r="C277" s="11"/>
    </row>
    <row r="278" spans="1:3" x14ac:dyDescent="0.2">
      <c r="A278" s="31"/>
      <c r="B278" s="14"/>
      <c r="C278" s="11"/>
    </row>
    <row r="279" spans="1:3" x14ac:dyDescent="0.2">
      <c r="A279" s="31"/>
      <c r="B279" s="14"/>
      <c r="C279" s="11"/>
    </row>
    <row r="280" spans="1:3" x14ac:dyDescent="0.2">
      <c r="A280" s="31"/>
      <c r="B280" s="14"/>
      <c r="C280" s="11"/>
    </row>
    <row r="281" spans="1:3" x14ac:dyDescent="0.2">
      <c r="A281" s="31"/>
      <c r="B281" s="14"/>
      <c r="C281" s="11"/>
    </row>
    <row r="282" spans="1:3" x14ac:dyDescent="0.2">
      <c r="A282" s="31"/>
      <c r="B282" s="14"/>
      <c r="C282" s="11"/>
    </row>
    <row r="283" spans="1:3" x14ac:dyDescent="0.2">
      <c r="A283" s="31"/>
      <c r="B283" s="14"/>
      <c r="C283" s="11"/>
    </row>
    <row r="284" spans="1:3" x14ac:dyDescent="0.2">
      <c r="A284" s="31"/>
      <c r="B284" s="14"/>
      <c r="C284" s="11"/>
    </row>
    <row r="285" spans="1:3" x14ac:dyDescent="0.2">
      <c r="A285" s="31"/>
      <c r="B285" s="14"/>
      <c r="C285" s="11"/>
    </row>
    <row r="286" spans="1:3" x14ac:dyDescent="0.2">
      <c r="A286" s="31"/>
      <c r="B286" s="14"/>
      <c r="C286" s="11"/>
    </row>
    <row r="287" spans="1:3" x14ac:dyDescent="0.2">
      <c r="A287" s="31"/>
      <c r="B287" s="14"/>
      <c r="C287" s="11"/>
    </row>
    <row r="288" spans="1:3" x14ac:dyDescent="0.2">
      <c r="A288" s="31"/>
      <c r="B288" s="14"/>
      <c r="C288" s="11"/>
    </row>
    <row r="289" spans="1:3" x14ac:dyDescent="0.2">
      <c r="A289" s="31"/>
      <c r="B289" s="14"/>
      <c r="C289" s="11"/>
    </row>
    <row r="290" spans="1:3" x14ac:dyDescent="0.2">
      <c r="A290" s="31"/>
      <c r="B290" s="14"/>
      <c r="C290" s="11"/>
    </row>
    <row r="291" spans="1:3" x14ac:dyDescent="0.2">
      <c r="A291" s="31"/>
      <c r="B291" s="14"/>
      <c r="C291" s="11"/>
    </row>
    <row r="292" spans="1:3" x14ac:dyDescent="0.2">
      <c r="A292" s="31"/>
      <c r="B292" s="14"/>
      <c r="C292" s="11"/>
    </row>
    <row r="293" spans="1:3" x14ac:dyDescent="0.2">
      <c r="A293" s="31"/>
      <c r="B293" s="14"/>
      <c r="C293" s="11"/>
    </row>
    <row r="294" spans="1:3" x14ac:dyDescent="0.2">
      <c r="A294" s="31"/>
      <c r="B294" s="14"/>
      <c r="C294" s="11"/>
    </row>
    <row r="295" spans="1:3" x14ac:dyDescent="0.2">
      <c r="A295" s="31"/>
      <c r="B295" s="14"/>
      <c r="C295" s="11"/>
    </row>
    <row r="296" spans="1:3" x14ac:dyDescent="0.2">
      <c r="A296" s="31"/>
      <c r="B296" s="14"/>
      <c r="C296" s="11"/>
    </row>
    <row r="297" spans="1:3" x14ac:dyDescent="0.2">
      <c r="A297" s="31"/>
      <c r="B297" s="14"/>
      <c r="C297" s="11"/>
    </row>
    <row r="298" spans="1:3" x14ac:dyDescent="0.2">
      <c r="A298" s="31"/>
      <c r="B298" s="14"/>
      <c r="C298" s="11"/>
    </row>
    <row r="299" spans="1:3" x14ac:dyDescent="0.2">
      <c r="A299" s="31"/>
      <c r="B299" s="14"/>
      <c r="C299" s="11"/>
    </row>
    <row r="300" spans="1:3" x14ac:dyDescent="0.2">
      <c r="A300" s="31"/>
      <c r="B300" s="14"/>
      <c r="C300" s="11"/>
    </row>
    <row r="301" spans="1:3" x14ac:dyDescent="0.2">
      <c r="A301" s="31"/>
      <c r="B301" s="14"/>
      <c r="C301" s="11"/>
    </row>
    <row r="302" spans="1:3" x14ac:dyDescent="0.2">
      <c r="A302" s="31"/>
      <c r="B302" s="14"/>
      <c r="C302" s="11"/>
    </row>
    <row r="303" spans="1:3" x14ac:dyDescent="0.2">
      <c r="A303" s="31"/>
      <c r="B303" s="14"/>
      <c r="C303" s="11"/>
    </row>
    <row r="304" spans="1:3" x14ac:dyDescent="0.2">
      <c r="A304" s="31"/>
      <c r="B304" s="14"/>
      <c r="C304" s="11"/>
    </row>
    <row r="305" spans="1:3" x14ac:dyDescent="0.2">
      <c r="A305" s="31"/>
      <c r="B305" s="14"/>
      <c r="C305" s="11"/>
    </row>
    <row r="306" spans="1:3" x14ac:dyDescent="0.2">
      <c r="A306" s="31"/>
      <c r="B306" s="14"/>
      <c r="C306" s="11"/>
    </row>
    <row r="307" spans="1:3" x14ac:dyDescent="0.2">
      <c r="A307" s="31"/>
      <c r="B307" s="14"/>
      <c r="C307" s="11"/>
    </row>
    <row r="308" spans="1:3" x14ac:dyDescent="0.2">
      <c r="A308" s="31"/>
      <c r="B308" s="14"/>
      <c r="C308" s="11"/>
    </row>
    <row r="309" spans="1:3" x14ac:dyDescent="0.2">
      <c r="A309" s="31"/>
      <c r="B309" s="14"/>
      <c r="C309" s="11"/>
    </row>
    <row r="310" spans="1:3" x14ac:dyDescent="0.2">
      <c r="A310" s="31"/>
      <c r="B310" s="14"/>
      <c r="C310" s="11"/>
    </row>
    <row r="311" spans="1:3" x14ac:dyDescent="0.2">
      <c r="A311" s="31"/>
      <c r="B311" s="14"/>
      <c r="C311" s="11"/>
    </row>
    <row r="312" spans="1:3" x14ac:dyDescent="0.2">
      <c r="A312" s="31"/>
      <c r="B312" s="14"/>
      <c r="C312" s="11"/>
    </row>
    <row r="313" spans="1:3" x14ac:dyDescent="0.2">
      <c r="A313" s="31"/>
      <c r="B313" s="14"/>
      <c r="C313" s="11"/>
    </row>
    <row r="314" spans="1:3" x14ac:dyDescent="0.2">
      <c r="A314" s="31"/>
      <c r="B314" s="14"/>
      <c r="C314" s="11"/>
    </row>
    <row r="315" spans="1:3" x14ac:dyDescent="0.2">
      <c r="A315" s="31"/>
      <c r="B315" s="14"/>
      <c r="C315" s="11"/>
    </row>
    <row r="316" spans="1:3" x14ac:dyDescent="0.2">
      <c r="A316" s="31"/>
      <c r="B316" s="14"/>
      <c r="C316" s="11"/>
    </row>
    <row r="317" spans="1:3" x14ac:dyDescent="0.2">
      <c r="A317" s="31"/>
      <c r="B317" s="14"/>
      <c r="C317" s="11"/>
    </row>
    <row r="318" spans="1:3" x14ac:dyDescent="0.2">
      <c r="A318" s="31"/>
      <c r="B318" s="14"/>
      <c r="C318" s="11"/>
    </row>
    <row r="319" spans="1:3" x14ac:dyDescent="0.2">
      <c r="A319" s="31"/>
      <c r="B319" s="14"/>
      <c r="C319" s="11"/>
    </row>
    <row r="320" spans="1:3" x14ac:dyDescent="0.2">
      <c r="A320" s="31"/>
      <c r="B320" s="14"/>
      <c r="C320" s="11"/>
    </row>
    <row r="321" spans="1:3" x14ac:dyDescent="0.2">
      <c r="A321" s="31"/>
      <c r="B321" s="14"/>
      <c r="C321" s="11"/>
    </row>
    <row r="322" spans="1:3" x14ac:dyDescent="0.2">
      <c r="A322" s="31"/>
      <c r="B322" s="14"/>
      <c r="C322" s="11"/>
    </row>
    <row r="323" spans="1:3" x14ac:dyDescent="0.2">
      <c r="A323" s="31"/>
      <c r="B323" s="14"/>
      <c r="C323" s="11"/>
    </row>
    <row r="324" spans="1:3" x14ac:dyDescent="0.2">
      <c r="A324" s="31"/>
      <c r="B324" s="14"/>
      <c r="C324" s="11"/>
    </row>
    <row r="325" spans="1:3" x14ac:dyDescent="0.2">
      <c r="A325" s="31"/>
      <c r="B325" s="14"/>
      <c r="C325" s="11"/>
    </row>
    <row r="326" spans="1:3" x14ac:dyDescent="0.2">
      <c r="A326" s="31"/>
      <c r="B326" s="14"/>
      <c r="C326" s="11"/>
    </row>
    <row r="327" spans="1:3" x14ac:dyDescent="0.2">
      <c r="A327" s="31"/>
      <c r="B327" s="14"/>
      <c r="C327" s="11"/>
    </row>
    <row r="328" spans="1:3" x14ac:dyDescent="0.2">
      <c r="A328" s="31"/>
      <c r="B328" s="14"/>
      <c r="C328" s="11"/>
    </row>
    <row r="329" spans="1:3" x14ac:dyDescent="0.2">
      <c r="A329" s="31"/>
      <c r="B329" s="14"/>
      <c r="C329" s="11"/>
    </row>
    <row r="330" spans="1:3" x14ac:dyDescent="0.2">
      <c r="A330" s="31"/>
      <c r="B330" s="14"/>
      <c r="C330" s="11"/>
    </row>
    <row r="331" spans="1:3" x14ac:dyDescent="0.2">
      <c r="A331" s="31"/>
      <c r="B331" s="14"/>
      <c r="C331" s="11"/>
    </row>
    <row r="332" spans="1:3" x14ac:dyDescent="0.2">
      <c r="A332" s="31"/>
      <c r="B332" s="14"/>
      <c r="C332" s="11"/>
    </row>
    <row r="333" spans="1:3" x14ac:dyDescent="0.2">
      <c r="A333" s="31"/>
      <c r="B333" s="14"/>
      <c r="C333" s="11"/>
    </row>
    <row r="334" spans="1:3" x14ac:dyDescent="0.2">
      <c r="A334" s="31"/>
      <c r="B334" s="14"/>
      <c r="C334" s="11"/>
    </row>
    <row r="335" spans="1:3" x14ac:dyDescent="0.2">
      <c r="A335" s="31"/>
      <c r="B335" s="14"/>
      <c r="C335" s="11"/>
    </row>
    <row r="336" spans="1:3" x14ac:dyDescent="0.2">
      <c r="A336" s="31"/>
      <c r="B336" s="14"/>
      <c r="C336" s="11"/>
    </row>
    <row r="337" spans="1:3" x14ac:dyDescent="0.2">
      <c r="A337" s="31"/>
      <c r="B337" s="14"/>
      <c r="C337" s="11"/>
    </row>
    <row r="338" spans="1:3" x14ac:dyDescent="0.2">
      <c r="A338" s="31"/>
      <c r="B338" s="14"/>
      <c r="C338" s="11"/>
    </row>
    <row r="339" spans="1:3" x14ac:dyDescent="0.2">
      <c r="A339" s="31"/>
      <c r="B339" s="14"/>
      <c r="C339" s="11"/>
    </row>
    <row r="340" spans="1:3" x14ac:dyDescent="0.2">
      <c r="A340" s="31"/>
      <c r="B340" s="14"/>
      <c r="C340" s="11"/>
    </row>
    <row r="341" spans="1:3" x14ac:dyDescent="0.2">
      <c r="A341" s="31"/>
      <c r="B341" s="14"/>
      <c r="C341" s="11"/>
    </row>
    <row r="342" spans="1:3" x14ac:dyDescent="0.2">
      <c r="A342" s="31"/>
      <c r="B342" s="14"/>
      <c r="C342" s="11"/>
    </row>
    <row r="343" spans="1:3" x14ac:dyDescent="0.2">
      <c r="A343" s="31"/>
      <c r="B343" s="14"/>
      <c r="C343" s="11"/>
    </row>
    <row r="344" spans="1:3" x14ac:dyDescent="0.2">
      <c r="A344" s="31"/>
      <c r="B344" s="14"/>
      <c r="C344" s="11"/>
    </row>
    <row r="345" spans="1:3" x14ac:dyDescent="0.2">
      <c r="A345" s="31"/>
      <c r="B345" s="14"/>
      <c r="C345" s="11"/>
    </row>
    <row r="346" spans="1:3" x14ac:dyDescent="0.2">
      <c r="A346" s="31"/>
      <c r="B346" s="14"/>
      <c r="C346" s="11"/>
    </row>
    <row r="347" spans="1:3" x14ac:dyDescent="0.2">
      <c r="A347" s="31"/>
      <c r="B347" s="14"/>
      <c r="C347" s="11"/>
    </row>
    <row r="348" spans="1:3" x14ac:dyDescent="0.2">
      <c r="A348" s="31"/>
      <c r="B348" s="14"/>
      <c r="C348" s="11"/>
    </row>
    <row r="349" spans="1:3" x14ac:dyDescent="0.2">
      <c r="A349" s="31"/>
      <c r="B349" s="14"/>
      <c r="C349" s="11"/>
    </row>
    <row r="350" spans="1:3" x14ac:dyDescent="0.2">
      <c r="A350" s="31"/>
      <c r="B350" s="14"/>
      <c r="C350" s="11"/>
    </row>
    <row r="351" spans="1:3" x14ac:dyDescent="0.2">
      <c r="A351" s="31"/>
      <c r="B351" s="14"/>
      <c r="C351" s="11"/>
    </row>
    <row r="352" spans="1:3" x14ac:dyDescent="0.2">
      <c r="A352" s="31"/>
      <c r="B352" s="14"/>
      <c r="C352" s="11"/>
    </row>
    <row r="353" spans="1:3" x14ac:dyDescent="0.2">
      <c r="A353" s="31"/>
      <c r="B353" s="14"/>
      <c r="C353" s="11"/>
    </row>
    <row r="354" spans="1:3" x14ac:dyDescent="0.2">
      <c r="A354" s="31"/>
      <c r="B354" s="14"/>
      <c r="C354" s="11"/>
    </row>
    <row r="355" spans="1:3" x14ac:dyDescent="0.2">
      <c r="A355" s="31"/>
      <c r="B355" s="14"/>
      <c r="C355" s="11"/>
    </row>
    <row r="356" spans="1:3" x14ac:dyDescent="0.2">
      <c r="A356" s="31"/>
      <c r="B356" s="14"/>
      <c r="C356" s="11"/>
    </row>
    <row r="357" spans="1:3" x14ac:dyDescent="0.2">
      <c r="A357" s="31"/>
      <c r="B357" s="14"/>
      <c r="C357" s="11"/>
    </row>
    <row r="358" spans="1:3" x14ac:dyDescent="0.2">
      <c r="A358" s="31"/>
      <c r="B358" s="14"/>
      <c r="C358" s="11"/>
    </row>
    <row r="359" spans="1:3" x14ac:dyDescent="0.2">
      <c r="A359" s="31"/>
      <c r="B359" s="14"/>
      <c r="C359" s="11"/>
    </row>
    <row r="360" spans="1:3" x14ac:dyDescent="0.2">
      <c r="A360" s="31"/>
      <c r="B360" s="14"/>
      <c r="C360" s="11"/>
    </row>
    <row r="361" spans="1:3" x14ac:dyDescent="0.2">
      <c r="A361" s="31"/>
      <c r="B361" s="14"/>
      <c r="C361" s="11"/>
    </row>
    <row r="362" spans="1:3" x14ac:dyDescent="0.2">
      <c r="A362" s="31"/>
      <c r="B362" s="14"/>
      <c r="C362" s="11"/>
    </row>
    <row r="363" spans="1:3" x14ac:dyDescent="0.2">
      <c r="A363" s="31"/>
      <c r="B363" s="14"/>
      <c r="C363" s="11"/>
    </row>
    <row r="364" spans="1:3" x14ac:dyDescent="0.2">
      <c r="A364" s="31"/>
      <c r="B364" s="14"/>
      <c r="C364" s="11"/>
    </row>
    <row r="365" spans="1:3" x14ac:dyDescent="0.2">
      <c r="A365" s="31"/>
      <c r="B365" s="14"/>
      <c r="C365" s="11"/>
    </row>
    <row r="366" spans="1:3" x14ac:dyDescent="0.2">
      <c r="A366" s="31"/>
      <c r="B366" s="14"/>
      <c r="C366" s="11"/>
    </row>
    <row r="367" spans="1:3" x14ac:dyDescent="0.2">
      <c r="A367" s="31"/>
      <c r="B367" s="14"/>
      <c r="C367" s="11"/>
    </row>
    <row r="368" spans="1:3" x14ac:dyDescent="0.2">
      <c r="A368" s="31"/>
      <c r="B368" s="14"/>
      <c r="C368" s="11"/>
    </row>
    <row r="369" spans="1:3" x14ac:dyDescent="0.2">
      <c r="A369" s="31"/>
      <c r="B369" s="14"/>
      <c r="C369" s="11"/>
    </row>
    <row r="370" spans="1:3" x14ac:dyDescent="0.2">
      <c r="A370" s="31"/>
      <c r="B370" s="14"/>
      <c r="C370" s="11"/>
    </row>
    <row r="371" spans="1:3" x14ac:dyDescent="0.2">
      <c r="A371" s="31"/>
      <c r="B371" s="14"/>
      <c r="C371" s="11"/>
    </row>
    <row r="372" spans="1:3" x14ac:dyDescent="0.2">
      <c r="A372" s="31"/>
      <c r="B372" s="14"/>
      <c r="C372" s="11"/>
    </row>
    <row r="373" spans="1:3" x14ac:dyDescent="0.2">
      <c r="A373" s="31"/>
      <c r="B373" s="14"/>
      <c r="C373" s="11"/>
    </row>
    <row r="374" spans="1:3" x14ac:dyDescent="0.2">
      <c r="A374" s="31"/>
      <c r="B374" s="14"/>
      <c r="C374" s="11"/>
    </row>
    <row r="375" spans="1:3" x14ac:dyDescent="0.2">
      <c r="A375" s="31"/>
      <c r="B375" s="14"/>
      <c r="C375" s="11"/>
    </row>
    <row r="376" spans="1:3" x14ac:dyDescent="0.2">
      <c r="A376" s="31"/>
      <c r="B376" s="14"/>
      <c r="C376" s="11"/>
    </row>
    <row r="377" spans="1:3" x14ac:dyDescent="0.2">
      <c r="A377" s="31"/>
      <c r="B377" s="14"/>
      <c r="C377" s="11"/>
    </row>
    <row r="378" spans="1:3" x14ac:dyDescent="0.2">
      <c r="A378" s="31"/>
      <c r="B378" s="14"/>
      <c r="C378" s="11"/>
    </row>
    <row r="379" spans="1:3" x14ac:dyDescent="0.2">
      <c r="A379" s="31"/>
      <c r="B379" s="14"/>
      <c r="C379" s="11"/>
    </row>
    <row r="380" spans="1:3" x14ac:dyDescent="0.2">
      <c r="A380" s="31"/>
      <c r="B380" s="14"/>
      <c r="C380" s="11"/>
    </row>
    <row r="381" spans="1:3" x14ac:dyDescent="0.2">
      <c r="A381" s="31"/>
      <c r="B381" s="14"/>
      <c r="C381" s="11"/>
    </row>
    <row r="382" spans="1:3" x14ac:dyDescent="0.2">
      <c r="A382" s="31"/>
      <c r="B382" s="14"/>
      <c r="C382" s="11"/>
    </row>
    <row r="383" spans="1:3" x14ac:dyDescent="0.2">
      <c r="A383" s="31"/>
      <c r="B383" s="14"/>
      <c r="C383" s="11"/>
    </row>
    <row r="384" spans="1:3" x14ac:dyDescent="0.2">
      <c r="A384" s="31"/>
      <c r="B384" s="14"/>
      <c r="C384" s="11"/>
    </row>
    <row r="385" spans="1:3" x14ac:dyDescent="0.2">
      <c r="A385" s="31"/>
      <c r="B385" s="14"/>
      <c r="C385" s="11"/>
    </row>
    <row r="386" spans="1:3" x14ac:dyDescent="0.2">
      <c r="A386" s="31"/>
      <c r="B386" s="14"/>
      <c r="C386" s="11"/>
    </row>
    <row r="387" spans="1:3" x14ac:dyDescent="0.2">
      <c r="A387" s="31"/>
      <c r="B387" s="14"/>
      <c r="C387" s="11"/>
    </row>
    <row r="388" spans="1:3" x14ac:dyDescent="0.2">
      <c r="A388" s="31"/>
      <c r="B388" s="14"/>
      <c r="C388" s="11"/>
    </row>
    <row r="389" spans="1:3" x14ac:dyDescent="0.2">
      <c r="A389" s="31"/>
      <c r="B389" s="14"/>
      <c r="C389" s="11"/>
    </row>
    <row r="390" spans="1:3" x14ac:dyDescent="0.2">
      <c r="A390" s="31"/>
      <c r="B390" s="14"/>
      <c r="C390" s="11"/>
    </row>
    <row r="391" spans="1:3" x14ac:dyDescent="0.2">
      <c r="A391" s="31"/>
      <c r="B391" s="14"/>
      <c r="C391" s="11"/>
    </row>
    <row r="392" spans="1:3" x14ac:dyDescent="0.2">
      <c r="A392" s="31"/>
      <c r="B392" s="14"/>
      <c r="C392" s="11"/>
    </row>
    <row r="393" spans="1:3" x14ac:dyDescent="0.2">
      <c r="A393" s="31"/>
      <c r="B393" s="14"/>
      <c r="C393" s="11"/>
    </row>
    <row r="394" spans="1:3" x14ac:dyDescent="0.2">
      <c r="A394" s="31"/>
      <c r="B394" s="14"/>
      <c r="C394" s="11"/>
    </row>
    <row r="395" spans="1:3" x14ac:dyDescent="0.2">
      <c r="A395" s="31"/>
      <c r="B395" s="14"/>
      <c r="C395" s="11"/>
    </row>
    <row r="396" spans="1:3" x14ac:dyDescent="0.2">
      <c r="A396" s="31"/>
      <c r="B396" s="14"/>
      <c r="C396" s="11"/>
    </row>
    <row r="397" spans="1:3" x14ac:dyDescent="0.2">
      <c r="A397" s="31"/>
      <c r="B397" s="14"/>
      <c r="C397" s="11"/>
    </row>
    <row r="398" spans="1:3" x14ac:dyDescent="0.2">
      <c r="A398" s="31"/>
      <c r="B398" s="14"/>
      <c r="C398" s="11"/>
    </row>
    <row r="399" spans="1:3" x14ac:dyDescent="0.2">
      <c r="A399" s="31"/>
      <c r="B399" s="14"/>
      <c r="C399" s="11"/>
    </row>
    <row r="400" spans="1:3" x14ac:dyDescent="0.2">
      <c r="A400" s="31"/>
      <c r="B400" s="14"/>
      <c r="C400" s="11"/>
    </row>
    <row r="401" spans="1:3" x14ac:dyDescent="0.2">
      <c r="A401" s="31"/>
      <c r="B401" s="14"/>
      <c r="C401" s="11"/>
    </row>
    <row r="402" spans="1:3" x14ac:dyDescent="0.2">
      <c r="A402" s="31"/>
      <c r="B402" s="14"/>
      <c r="C402" s="11"/>
    </row>
    <row r="403" spans="1:3" x14ac:dyDescent="0.2">
      <c r="A403" s="31"/>
      <c r="B403" s="14"/>
      <c r="C403" s="11"/>
    </row>
    <row r="404" spans="1:3" x14ac:dyDescent="0.2">
      <c r="A404" s="31"/>
      <c r="B404" s="14"/>
      <c r="C404" s="11"/>
    </row>
    <row r="405" spans="1:3" x14ac:dyDescent="0.2">
      <c r="A405" s="31"/>
      <c r="B405" s="14"/>
      <c r="C405" s="11"/>
    </row>
    <row r="406" spans="1:3" x14ac:dyDescent="0.2">
      <c r="A406" s="31"/>
      <c r="B406" s="14"/>
      <c r="C406" s="11"/>
    </row>
    <row r="407" spans="1:3" x14ac:dyDescent="0.2">
      <c r="A407" s="31"/>
      <c r="B407" s="14"/>
      <c r="C407" s="11"/>
    </row>
    <row r="408" spans="1:3" x14ac:dyDescent="0.2">
      <c r="A408" s="31"/>
      <c r="B408" s="14"/>
      <c r="C408" s="11"/>
    </row>
    <row r="409" spans="1:3" x14ac:dyDescent="0.2">
      <c r="A409" s="31"/>
      <c r="B409" s="14"/>
      <c r="C409" s="11"/>
    </row>
    <row r="410" spans="1:3" x14ac:dyDescent="0.2">
      <c r="A410" s="31"/>
      <c r="B410" s="14"/>
      <c r="C410" s="11"/>
    </row>
    <row r="411" spans="1:3" x14ac:dyDescent="0.2">
      <c r="A411" s="31"/>
      <c r="B411" s="14"/>
      <c r="C411" s="11"/>
    </row>
    <row r="412" spans="1:3" x14ac:dyDescent="0.2">
      <c r="A412" s="31"/>
      <c r="B412" s="14"/>
      <c r="C412" s="11"/>
    </row>
    <row r="413" spans="1:3" x14ac:dyDescent="0.2">
      <c r="A413" s="31"/>
      <c r="B413" s="14"/>
      <c r="C413" s="11"/>
    </row>
    <row r="414" spans="1:3" x14ac:dyDescent="0.2">
      <c r="A414" s="31"/>
      <c r="B414" s="14"/>
      <c r="C414" s="11"/>
    </row>
    <row r="415" spans="1:3" x14ac:dyDescent="0.2">
      <c r="A415" s="31"/>
      <c r="B415" s="14"/>
      <c r="C415" s="11"/>
    </row>
    <row r="416" spans="1:3" x14ac:dyDescent="0.2">
      <c r="A416" s="31"/>
      <c r="B416" s="14"/>
      <c r="C416" s="11"/>
    </row>
    <row r="417" spans="1:3" x14ac:dyDescent="0.2">
      <c r="A417" s="31"/>
      <c r="B417" s="14"/>
      <c r="C417" s="11"/>
    </row>
    <row r="418" spans="1:3" x14ac:dyDescent="0.2">
      <c r="A418" s="31"/>
      <c r="B418" s="14"/>
      <c r="C418" s="11"/>
    </row>
    <row r="419" spans="1:3" x14ac:dyDescent="0.2">
      <c r="A419" s="31"/>
      <c r="B419" s="14"/>
      <c r="C419" s="11"/>
    </row>
    <row r="420" spans="1:3" x14ac:dyDescent="0.2">
      <c r="A420" s="31"/>
      <c r="B420" s="14"/>
      <c r="C420" s="11"/>
    </row>
    <row r="421" spans="1:3" x14ac:dyDescent="0.2">
      <c r="A421" s="31"/>
      <c r="B421" s="14"/>
      <c r="C421" s="11"/>
    </row>
    <row r="422" spans="1:3" x14ac:dyDescent="0.2">
      <c r="A422" s="31"/>
      <c r="B422" s="14"/>
      <c r="C422" s="11"/>
    </row>
    <row r="423" spans="1:3" x14ac:dyDescent="0.2">
      <c r="A423" s="31"/>
      <c r="B423" s="14"/>
      <c r="C423" s="11"/>
    </row>
  </sheetData>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3936C-9E94-4712-A4A1-7CE89031E633}">
  <sheetPr codeName="Sheet1"/>
  <dimension ref="A1:C12"/>
  <sheetViews>
    <sheetView workbookViewId="0">
      <selection activeCell="C25" sqref="C25"/>
    </sheetView>
  </sheetViews>
  <sheetFormatPr baseColWidth="10" defaultColWidth="9.1640625" defaultRowHeight="15" x14ac:dyDescent="0.2"/>
  <cols>
    <col min="1" max="1" width="26.33203125" style="1" customWidth="1"/>
    <col min="2" max="2" width="30.83203125" style="1" customWidth="1"/>
    <col min="3" max="16384" width="9.1640625" style="1"/>
  </cols>
  <sheetData>
    <row r="1" spans="1:3" ht="95" x14ac:dyDescent="1.1499999999999999">
      <c r="A1" s="2" t="s">
        <v>0</v>
      </c>
    </row>
    <row r="3" spans="1:3" ht="25" x14ac:dyDescent="0.35">
      <c r="A3" s="3" t="s">
        <v>1</v>
      </c>
      <c r="B3" s="5" t="s">
        <v>2</v>
      </c>
      <c r="C3" s="6"/>
    </row>
    <row r="4" spans="1:3" ht="17" x14ac:dyDescent="0.25">
      <c r="A4" s="4" t="s">
        <v>3</v>
      </c>
      <c r="B4" s="7">
        <v>100</v>
      </c>
    </row>
    <row r="5" spans="1:3" ht="17" x14ac:dyDescent="0.25">
      <c r="A5" s="4" t="s">
        <v>4</v>
      </c>
      <c r="B5" s="7">
        <v>200</v>
      </c>
    </row>
    <row r="6" spans="1:3" ht="17" x14ac:dyDescent="0.25">
      <c r="A6" s="4" t="s">
        <v>5</v>
      </c>
      <c r="B6" s="7">
        <v>100</v>
      </c>
    </row>
    <row r="7" spans="1:3" ht="17" x14ac:dyDescent="0.25">
      <c r="A7" s="4" t="s">
        <v>6</v>
      </c>
      <c r="B7" s="7">
        <v>100</v>
      </c>
    </row>
    <row r="8" spans="1:3" ht="17" x14ac:dyDescent="0.25">
      <c r="A8" s="4" t="s">
        <v>7</v>
      </c>
      <c r="B8" s="7">
        <v>50</v>
      </c>
    </row>
    <row r="11" spans="1:3" ht="22" x14ac:dyDescent="0.3">
      <c r="A11" s="8" t="s">
        <v>8</v>
      </c>
      <c r="B11" s="9">
        <f>SUM(B4:B8)</f>
        <v>550</v>
      </c>
    </row>
    <row r="12" spans="1:3" ht="22" x14ac:dyDescent="0.3">
      <c r="A12" s="8" t="s">
        <v>20</v>
      </c>
      <c r="B12" s="19">
        <f>Income!B6-Budget!B11</f>
        <v>1000</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D65E7-BCFA-400F-A314-D9D1BDCB053B}">
  <sheetPr codeName="Sheet4"/>
  <dimension ref="A1:C100"/>
  <sheetViews>
    <sheetView workbookViewId="0"/>
  </sheetViews>
  <sheetFormatPr baseColWidth="10" defaultColWidth="9.1640625" defaultRowHeight="15" x14ac:dyDescent="0.2"/>
  <cols>
    <col min="1" max="1" width="30.33203125" style="1" customWidth="1"/>
    <col min="2" max="2" width="20.33203125" style="1" customWidth="1"/>
    <col min="3" max="5" width="9.1640625" style="1"/>
    <col min="6" max="6" width="9.1640625" style="1" customWidth="1"/>
    <col min="7" max="16384" width="9.1640625" style="1"/>
  </cols>
  <sheetData>
    <row r="1" spans="1:3" ht="95" x14ac:dyDescent="1.1499999999999999">
      <c r="A1" s="15" t="s">
        <v>15</v>
      </c>
      <c r="B1" s="12"/>
    </row>
    <row r="2" spans="1:3" ht="17" x14ac:dyDescent="0.25">
      <c r="A2" s="18" t="s">
        <v>1</v>
      </c>
      <c r="B2" s="18" t="s">
        <v>16</v>
      </c>
    </row>
    <row r="3" spans="1:3" ht="16" x14ac:dyDescent="0.25">
      <c r="A3" s="23" t="s">
        <v>17</v>
      </c>
      <c r="B3" s="24">
        <v>550</v>
      </c>
      <c r="C3" s="1" t="s">
        <v>34</v>
      </c>
    </row>
    <row r="4" spans="1:3" ht="16" x14ac:dyDescent="0.25">
      <c r="A4" s="23" t="s">
        <v>18</v>
      </c>
      <c r="B4" s="24">
        <v>0</v>
      </c>
      <c r="C4" s="1" t="s">
        <v>34</v>
      </c>
    </row>
    <row r="5" spans="1:3" ht="16" x14ac:dyDescent="0.25">
      <c r="A5" s="23" t="s">
        <v>19</v>
      </c>
      <c r="B5" s="24">
        <v>1000</v>
      </c>
      <c r="C5" s="1" t="s">
        <v>34</v>
      </c>
    </row>
    <row r="6" spans="1:3" ht="16" x14ac:dyDescent="0.25">
      <c r="A6" s="25"/>
      <c r="B6" s="26">
        <f>SUM(B3:B5)</f>
        <v>1550</v>
      </c>
      <c r="C6" s="1" t="s">
        <v>34</v>
      </c>
    </row>
    <row r="7" spans="1:3" x14ac:dyDescent="0.2">
      <c r="A7" s="1" t="s">
        <v>34</v>
      </c>
      <c r="B7" s="12"/>
      <c r="C7" s="1" t="s">
        <v>34</v>
      </c>
    </row>
    <row r="8" spans="1:3" x14ac:dyDescent="0.2">
      <c r="A8" s="1" t="s">
        <v>34</v>
      </c>
      <c r="B8" s="1" t="s">
        <v>34</v>
      </c>
      <c r="C8" s="1" t="s">
        <v>34</v>
      </c>
    </row>
    <row r="9" spans="1:3" x14ac:dyDescent="0.2">
      <c r="A9" s="1" t="s">
        <v>34</v>
      </c>
      <c r="B9" s="1" t="s">
        <v>34</v>
      </c>
      <c r="C9" s="1" t="s">
        <v>34</v>
      </c>
    </row>
    <row r="10" spans="1:3" x14ac:dyDescent="0.2">
      <c r="A10" s="1" t="s">
        <v>34</v>
      </c>
      <c r="B10" s="1" t="s">
        <v>34</v>
      </c>
      <c r="C10" s="1" t="s">
        <v>34</v>
      </c>
    </row>
    <row r="11" spans="1:3" x14ac:dyDescent="0.2">
      <c r="A11" s="1" t="s">
        <v>34</v>
      </c>
      <c r="B11" s="1" t="s">
        <v>34</v>
      </c>
      <c r="C11" s="1" t="s">
        <v>34</v>
      </c>
    </row>
    <row r="12" spans="1:3" x14ac:dyDescent="0.2">
      <c r="A12" s="1" t="s">
        <v>34</v>
      </c>
      <c r="B12" s="1" t="s">
        <v>34</v>
      </c>
      <c r="C12" s="1" t="s">
        <v>34</v>
      </c>
    </row>
    <row r="13" spans="1:3" x14ac:dyDescent="0.2">
      <c r="A13" s="1" t="s">
        <v>34</v>
      </c>
      <c r="B13" s="1" t="s">
        <v>34</v>
      </c>
      <c r="C13" s="1" t="s">
        <v>34</v>
      </c>
    </row>
    <row r="14" spans="1:3" x14ac:dyDescent="0.2">
      <c r="A14" s="1" t="s">
        <v>34</v>
      </c>
      <c r="B14" s="1" t="s">
        <v>34</v>
      </c>
      <c r="C14" s="1" t="s">
        <v>34</v>
      </c>
    </row>
    <row r="15" spans="1:3" x14ac:dyDescent="0.2">
      <c r="A15" s="1" t="s">
        <v>34</v>
      </c>
      <c r="B15" s="1" t="s">
        <v>34</v>
      </c>
      <c r="C15" s="1" t="s">
        <v>34</v>
      </c>
    </row>
    <row r="16" spans="1:3" x14ac:dyDescent="0.2">
      <c r="A16" s="1" t="s">
        <v>34</v>
      </c>
      <c r="B16" s="1" t="s">
        <v>34</v>
      </c>
      <c r="C16" s="1" t="s">
        <v>34</v>
      </c>
    </row>
    <row r="17" spans="1:3" x14ac:dyDescent="0.2">
      <c r="A17" s="1" t="s">
        <v>34</v>
      </c>
      <c r="B17" s="1" t="s">
        <v>34</v>
      </c>
      <c r="C17" s="1" t="s">
        <v>34</v>
      </c>
    </row>
    <row r="18" spans="1:3" x14ac:dyDescent="0.2">
      <c r="A18" s="1" t="s">
        <v>34</v>
      </c>
      <c r="B18" s="1" t="s">
        <v>34</v>
      </c>
      <c r="C18" s="1" t="s">
        <v>34</v>
      </c>
    </row>
    <row r="19" spans="1:3" x14ac:dyDescent="0.2">
      <c r="A19" s="1" t="s">
        <v>34</v>
      </c>
      <c r="B19" s="1" t="s">
        <v>34</v>
      </c>
      <c r="C19" s="1" t="s">
        <v>34</v>
      </c>
    </row>
    <row r="20" spans="1:3" x14ac:dyDescent="0.2">
      <c r="A20" s="1" t="s">
        <v>34</v>
      </c>
      <c r="B20" s="1" t="s">
        <v>34</v>
      </c>
      <c r="C20" s="1" t="s">
        <v>34</v>
      </c>
    </row>
    <row r="21" spans="1:3" x14ac:dyDescent="0.2">
      <c r="A21" s="1" t="s">
        <v>34</v>
      </c>
      <c r="B21" s="1" t="s">
        <v>34</v>
      </c>
      <c r="C21" s="1" t="s">
        <v>34</v>
      </c>
    </row>
    <row r="22" spans="1:3" x14ac:dyDescent="0.2">
      <c r="A22" s="1" t="s">
        <v>34</v>
      </c>
      <c r="B22" s="1" t="s">
        <v>34</v>
      </c>
      <c r="C22" s="1" t="s">
        <v>34</v>
      </c>
    </row>
    <row r="23" spans="1:3" x14ac:dyDescent="0.2">
      <c r="A23" s="1" t="s">
        <v>34</v>
      </c>
      <c r="B23" s="1" t="s">
        <v>34</v>
      </c>
      <c r="C23" s="1" t="s">
        <v>34</v>
      </c>
    </row>
    <row r="24" spans="1:3" x14ac:dyDescent="0.2">
      <c r="A24" s="1" t="s">
        <v>34</v>
      </c>
      <c r="B24" s="1" t="s">
        <v>34</v>
      </c>
      <c r="C24" s="1" t="s">
        <v>34</v>
      </c>
    </row>
    <row r="25" spans="1:3" x14ac:dyDescent="0.2">
      <c r="A25" s="1" t="s">
        <v>34</v>
      </c>
      <c r="B25" s="1" t="s">
        <v>34</v>
      </c>
      <c r="C25" s="1" t="s">
        <v>34</v>
      </c>
    </row>
    <row r="26" spans="1:3" x14ac:dyDescent="0.2">
      <c r="A26" s="1" t="s">
        <v>34</v>
      </c>
      <c r="B26" s="1" t="s">
        <v>34</v>
      </c>
      <c r="C26" s="1" t="s">
        <v>34</v>
      </c>
    </row>
    <row r="27" spans="1:3" x14ac:dyDescent="0.2">
      <c r="A27" s="1" t="s">
        <v>34</v>
      </c>
      <c r="B27" s="1" t="s">
        <v>34</v>
      </c>
      <c r="C27" s="1" t="s">
        <v>34</v>
      </c>
    </row>
    <row r="28" spans="1:3" x14ac:dyDescent="0.2">
      <c r="A28" s="1" t="s">
        <v>34</v>
      </c>
      <c r="B28" s="1" t="s">
        <v>34</v>
      </c>
      <c r="C28" s="1" t="s">
        <v>34</v>
      </c>
    </row>
    <row r="29" spans="1:3" x14ac:dyDescent="0.2">
      <c r="A29" s="1" t="s">
        <v>34</v>
      </c>
      <c r="B29" s="1" t="s">
        <v>34</v>
      </c>
      <c r="C29" s="1" t="s">
        <v>34</v>
      </c>
    </row>
    <row r="30" spans="1:3" x14ac:dyDescent="0.2">
      <c r="A30" s="1" t="s">
        <v>34</v>
      </c>
      <c r="B30" s="1" t="s">
        <v>34</v>
      </c>
      <c r="C30" s="1" t="s">
        <v>34</v>
      </c>
    </row>
    <row r="31" spans="1:3" x14ac:dyDescent="0.2">
      <c r="A31" s="1" t="s">
        <v>34</v>
      </c>
      <c r="B31" s="1" t="s">
        <v>34</v>
      </c>
      <c r="C31" s="1" t="s">
        <v>34</v>
      </c>
    </row>
    <row r="32" spans="1:3" x14ac:dyDescent="0.2">
      <c r="A32" s="1" t="s">
        <v>34</v>
      </c>
      <c r="B32" s="1" t="s">
        <v>34</v>
      </c>
      <c r="C32" s="1" t="s">
        <v>34</v>
      </c>
    </row>
    <row r="33" spans="1:3" x14ac:dyDescent="0.2">
      <c r="A33" s="1" t="s">
        <v>34</v>
      </c>
      <c r="B33" s="1" t="s">
        <v>34</v>
      </c>
      <c r="C33" s="1" t="s">
        <v>34</v>
      </c>
    </row>
    <row r="34" spans="1:3" x14ac:dyDescent="0.2">
      <c r="A34" s="1" t="s">
        <v>34</v>
      </c>
      <c r="B34" s="1" t="s">
        <v>34</v>
      </c>
      <c r="C34" s="1" t="s">
        <v>34</v>
      </c>
    </row>
    <row r="35" spans="1:3" x14ac:dyDescent="0.2">
      <c r="A35" s="1" t="s">
        <v>34</v>
      </c>
      <c r="B35" s="1" t="s">
        <v>34</v>
      </c>
      <c r="C35" s="1" t="s">
        <v>34</v>
      </c>
    </row>
    <row r="36" spans="1:3" x14ac:dyDescent="0.2">
      <c r="A36" s="1" t="s">
        <v>34</v>
      </c>
      <c r="B36" s="1" t="s">
        <v>34</v>
      </c>
      <c r="C36" s="1" t="s">
        <v>34</v>
      </c>
    </row>
    <row r="37" spans="1:3" x14ac:dyDescent="0.2">
      <c r="A37" s="1" t="s">
        <v>34</v>
      </c>
      <c r="B37" s="1" t="s">
        <v>34</v>
      </c>
      <c r="C37" s="1" t="s">
        <v>34</v>
      </c>
    </row>
    <row r="38" spans="1:3" x14ac:dyDescent="0.2">
      <c r="A38" s="1" t="s">
        <v>34</v>
      </c>
      <c r="B38" s="1" t="s">
        <v>34</v>
      </c>
      <c r="C38" s="1" t="s">
        <v>34</v>
      </c>
    </row>
    <row r="39" spans="1:3" x14ac:dyDescent="0.2">
      <c r="A39" s="1" t="s">
        <v>34</v>
      </c>
      <c r="B39" s="1" t="s">
        <v>34</v>
      </c>
      <c r="C39" s="1" t="s">
        <v>34</v>
      </c>
    </row>
    <row r="40" spans="1:3" x14ac:dyDescent="0.2">
      <c r="A40" s="1" t="s">
        <v>34</v>
      </c>
      <c r="B40" s="1" t="s">
        <v>34</v>
      </c>
      <c r="C40" s="1" t="s">
        <v>34</v>
      </c>
    </row>
    <row r="41" spans="1:3" x14ac:dyDescent="0.2">
      <c r="A41" s="1" t="s">
        <v>34</v>
      </c>
      <c r="B41" s="1" t="s">
        <v>34</v>
      </c>
      <c r="C41" s="1" t="s">
        <v>34</v>
      </c>
    </row>
    <row r="42" spans="1:3" x14ac:dyDescent="0.2">
      <c r="A42" s="1" t="s">
        <v>34</v>
      </c>
      <c r="B42" s="1" t="s">
        <v>34</v>
      </c>
      <c r="C42" s="1" t="s">
        <v>34</v>
      </c>
    </row>
    <row r="43" spans="1:3" x14ac:dyDescent="0.2">
      <c r="A43" s="1" t="s">
        <v>34</v>
      </c>
      <c r="B43" s="1" t="s">
        <v>34</v>
      </c>
      <c r="C43" s="1" t="s">
        <v>34</v>
      </c>
    </row>
    <row r="44" spans="1:3" x14ac:dyDescent="0.2">
      <c r="A44" s="1" t="s">
        <v>34</v>
      </c>
      <c r="B44" s="1" t="s">
        <v>34</v>
      </c>
      <c r="C44" s="1" t="s">
        <v>34</v>
      </c>
    </row>
    <row r="45" spans="1:3" x14ac:dyDescent="0.2">
      <c r="A45" s="1" t="s">
        <v>34</v>
      </c>
      <c r="B45" s="1" t="s">
        <v>34</v>
      </c>
      <c r="C45" s="1" t="s">
        <v>34</v>
      </c>
    </row>
    <row r="46" spans="1:3" x14ac:dyDescent="0.2">
      <c r="A46" s="1" t="s">
        <v>34</v>
      </c>
      <c r="B46" s="1" t="s">
        <v>34</v>
      </c>
      <c r="C46" s="1" t="s">
        <v>34</v>
      </c>
    </row>
    <row r="47" spans="1:3" x14ac:dyDescent="0.2">
      <c r="A47" s="1" t="s">
        <v>34</v>
      </c>
      <c r="B47" s="1" t="s">
        <v>34</v>
      </c>
      <c r="C47" s="1" t="s">
        <v>34</v>
      </c>
    </row>
    <row r="48" spans="1:3" x14ac:dyDescent="0.2">
      <c r="A48" s="1" t="s">
        <v>34</v>
      </c>
      <c r="B48" s="1" t="s">
        <v>34</v>
      </c>
      <c r="C48" s="1" t="s">
        <v>34</v>
      </c>
    </row>
    <row r="49" spans="1:3" x14ac:dyDescent="0.2">
      <c r="A49" s="1" t="s">
        <v>34</v>
      </c>
      <c r="B49" s="1" t="s">
        <v>34</v>
      </c>
      <c r="C49" s="1" t="s">
        <v>34</v>
      </c>
    </row>
    <row r="50" spans="1:3" x14ac:dyDescent="0.2">
      <c r="A50" s="1" t="s">
        <v>34</v>
      </c>
      <c r="B50" s="1" t="s">
        <v>34</v>
      </c>
      <c r="C50" s="1" t="s">
        <v>34</v>
      </c>
    </row>
    <row r="51" spans="1:3" x14ac:dyDescent="0.2">
      <c r="A51" s="1" t="s">
        <v>34</v>
      </c>
      <c r="B51" s="1" t="s">
        <v>34</v>
      </c>
      <c r="C51" s="1" t="s">
        <v>34</v>
      </c>
    </row>
    <row r="52" spans="1:3" x14ac:dyDescent="0.2">
      <c r="A52" s="1" t="s">
        <v>34</v>
      </c>
      <c r="B52" s="1" t="s">
        <v>34</v>
      </c>
      <c r="C52" s="1" t="s">
        <v>34</v>
      </c>
    </row>
    <row r="53" spans="1:3" x14ac:dyDescent="0.2">
      <c r="A53" s="1" t="s">
        <v>34</v>
      </c>
      <c r="B53" s="1" t="s">
        <v>34</v>
      </c>
      <c r="C53" s="1" t="s">
        <v>34</v>
      </c>
    </row>
    <row r="54" spans="1:3" x14ac:dyDescent="0.2">
      <c r="A54" s="1" t="s">
        <v>34</v>
      </c>
      <c r="B54" s="1" t="s">
        <v>34</v>
      </c>
      <c r="C54" s="1" t="s">
        <v>34</v>
      </c>
    </row>
    <row r="55" spans="1:3" x14ac:dyDescent="0.2">
      <c r="A55" s="1" t="s">
        <v>34</v>
      </c>
      <c r="B55" s="1" t="s">
        <v>34</v>
      </c>
      <c r="C55" s="1" t="s">
        <v>34</v>
      </c>
    </row>
    <row r="56" spans="1:3" x14ac:dyDescent="0.2">
      <c r="A56" s="1" t="s">
        <v>34</v>
      </c>
      <c r="B56" s="1" t="s">
        <v>34</v>
      </c>
      <c r="C56" s="1" t="s">
        <v>34</v>
      </c>
    </row>
    <row r="57" spans="1:3" x14ac:dyDescent="0.2">
      <c r="A57" s="1" t="s">
        <v>34</v>
      </c>
      <c r="B57" s="1" t="s">
        <v>34</v>
      </c>
      <c r="C57" s="1" t="s">
        <v>34</v>
      </c>
    </row>
    <row r="58" spans="1:3" x14ac:dyDescent="0.2">
      <c r="A58" s="1" t="s">
        <v>34</v>
      </c>
      <c r="B58" s="1" t="s">
        <v>34</v>
      </c>
      <c r="C58" s="1" t="s">
        <v>34</v>
      </c>
    </row>
    <row r="59" spans="1:3" x14ac:dyDescent="0.2">
      <c r="A59" s="1" t="s">
        <v>34</v>
      </c>
      <c r="B59" s="1" t="s">
        <v>34</v>
      </c>
      <c r="C59" s="1" t="s">
        <v>34</v>
      </c>
    </row>
    <row r="60" spans="1:3" x14ac:dyDescent="0.2">
      <c r="A60" s="1" t="s">
        <v>34</v>
      </c>
      <c r="B60" s="1" t="s">
        <v>34</v>
      </c>
      <c r="C60" s="1" t="s">
        <v>34</v>
      </c>
    </row>
    <row r="61" spans="1:3" x14ac:dyDescent="0.2">
      <c r="A61" s="1" t="s">
        <v>34</v>
      </c>
      <c r="B61" s="1" t="s">
        <v>34</v>
      </c>
      <c r="C61" s="1" t="s">
        <v>34</v>
      </c>
    </row>
    <row r="62" spans="1:3" x14ac:dyDescent="0.2">
      <c r="A62" s="1" t="s">
        <v>34</v>
      </c>
      <c r="B62" s="1" t="s">
        <v>34</v>
      </c>
      <c r="C62" s="1" t="s">
        <v>34</v>
      </c>
    </row>
    <row r="63" spans="1:3" x14ac:dyDescent="0.2">
      <c r="A63" s="1" t="s">
        <v>34</v>
      </c>
      <c r="B63" s="1" t="s">
        <v>34</v>
      </c>
      <c r="C63" s="1" t="s">
        <v>34</v>
      </c>
    </row>
    <row r="64" spans="1:3" x14ac:dyDescent="0.2">
      <c r="A64" s="1" t="s">
        <v>34</v>
      </c>
      <c r="B64" s="1" t="s">
        <v>34</v>
      </c>
      <c r="C64" s="1" t="s">
        <v>34</v>
      </c>
    </row>
    <row r="65" spans="1:3" x14ac:dyDescent="0.2">
      <c r="A65" s="1" t="s">
        <v>34</v>
      </c>
      <c r="B65" s="1" t="s">
        <v>34</v>
      </c>
      <c r="C65" s="1" t="s">
        <v>34</v>
      </c>
    </row>
    <row r="66" spans="1:3" x14ac:dyDescent="0.2">
      <c r="A66" s="1" t="s">
        <v>34</v>
      </c>
      <c r="B66" s="1" t="s">
        <v>34</v>
      </c>
      <c r="C66" s="1" t="s">
        <v>34</v>
      </c>
    </row>
    <row r="67" spans="1:3" x14ac:dyDescent="0.2">
      <c r="A67" s="1" t="s">
        <v>34</v>
      </c>
      <c r="B67" s="1" t="s">
        <v>34</v>
      </c>
      <c r="C67" s="1" t="s">
        <v>34</v>
      </c>
    </row>
    <row r="68" spans="1:3" x14ac:dyDescent="0.2">
      <c r="A68" s="1" t="s">
        <v>34</v>
      </c>
      <c r="B68" s="1" t="s">
        <v>34</v>
      </c>
      <c r="C68" s="1" t="s">
        <v>34</v>
      </c>
    </row>
    <row r="69" spans="1:3" x14ac:dyDescent="0.2">
      <c r="A69" s="1" t="s">
        <v>34</v>
      </c>
      <c r="B69" s="1" t="s">
        <v>34</v>
      </c>
      <c r="C69" s="1" t="s">
        <v>34</v>
      </c>
    </row>
    <row r="70" spans="1:3" x14ac:dyDescent="0.2">
      <c r="A70" s="1" t="s">
        <v>34</v>
      </c>
      <c r="B70" s="1" t="s">
        <v>34</v>
      </c>
      <c r="C70" s="1" t="s">
        <v>34</v>
      </c>
    </row>
    <row r="71" spans="1:3" x14ac:dyDescent="0.2">
      <c r="A71" s="1" t="s">
        <v>34</v>
      </c>
      <c r="B71" s="1" t="s">
        <v>34</v>
      </c>
      <c r="C71" s="1" t="s">
        <v>34</v>
      </c>
    </row>
    <row r="72" spans="1:3" x14ac:dyDescent="0.2">
      <c r="A72" s="1" t="s">
        <v>34</v>
      </c>
      <c r="B72" s="1" t="s">
        <v>34</v>
      </c>
      <c r="C72" s="1" t="s">
        <v>34</v>
      </c>
    </row>
    <row r="73" spans="1:3" x14ac:dyDescent="0.2">
      <c r="A73" s="1" t="s">
        <v>34</v>
      </c>
      <c r="B73" s="1" t="s">
        <v>34</v>
      </c>
      <c r="C73" s="1" t="s">
        <v>34</v>
      </c>
    </row>
    <row r="74" spans="1:3" x14ac:dyDescent="0.2">
      <c r="A74" s="1" t="s">
        <v>34</v>
      </c>
      <c r="B74" s="1" t="s">
        <v>34</v>
      </c>
      <c r="C74" s="1" t="s">
        <v>34</v>
      </c>
    </row>
    <row r="75" spans="1:3" x14ac:dyDescent="0.2">
      <c r="A75" s="1" t="s">
        <v>34</v>
      </c>
      <c r="B75" s="1" t="s">
        <v>34</v>
      </c>
      <c r="C75" s="1" t="s">
        <v>34</v>
      </c>
    </row>
    <row r="76" spans="1:3" x14ac:dyDescent="0.2">
      <c r="A76" s="1" t="s">
        <v>34</v>
      </c>
      <c r="B76" s="1" t="s">
        <v>34</v>
      </c>
      <c r="C76" s="1" t="s">
        <v>34</v>
      </c>
    </row>
    <row r="77" spans="1:3" x14ac:dyDescent="0.2">
      <c r="A77" s="1" t="s">
        <v>34</v>
      </c>
      <c r="B77" s="1" t="s">
        <v>34</v>
      </c>
      <c r="C77" s="1" t="s">
        <v>34</v>
      </c>
    </row>
    <row r="78" spans="1:3" x14ac:dyDescent="0.2">
      <c r="A78" s="1" t="s">
        <v>34</v>
      </c>
      <c r="B78" s="1" t="s">
        <v>34</v>
      </c>
      <c r="C78" s="1" t="s">
        <v>34</v>
      </c>
    </row>
    <row r="79" spans="1:3" x14ac:dyDescent="0.2">
      <c r="A79" s="1" t="s">
        <v>34</v>
      </c>
      <c r="B79" s="1" t="s">
        <v>34</v>
      </c>
      <c r="C79" s="1" t="s">
        <v>34</v>
      </c>
    </row>
    <row r="80" spans="1:3" x14ac:dyDescent="0.2">
      <c r="A80" s="1" t="s">
        <v>34</v>
      </c>
      <c r="B80" s="1" t="s">
        <v>34</v>
      </c>
      <c r="C80" s="1" t="s">
        <v>34</v>
      </c>
    </row>
    <row r="81" spans="1:3" x14ac:dyDescent="0.2">
      <c r="A81" s="1" t="s">
        <v>34</v>
      </c>
      <c r="B81" s="1" t="s">
        <v>34</v>
      </c>
      <c r="C81" s="1" t="s">
        <v>34</v>
      </c>
    </row>
    <row r="82" spans="1:3" x14ac:dyDescent="0.2">
      <c r="A82" s="1" t="s">
        <v>34</v>
      </c>
      <c r="B82" s="1" t="s">
        <v>34</v>
      </c>
      <c r="C82" s="1" t="s">
        <v>34</v>
      </c>
    </row>
    <row r="83" spans="1:3" x14ac:dyDescent="0.2">
      <c r="A83" s="1" t="s">
        <v>34</v>
      </c>
      <c r="B83" s="1" t="s">
        <v>34</v>
      </c>
      <c r="C83" s="1" t="s">
        <v>34</v>
      </c>
    </row>
    <row r="84" spans="1:3" x14ac:dyDescent="0.2">
      <c r="A84" s="1" t="s">
        <v>34</v>
      </c>
      <c r="B84" s="1" t="s">
        <v>34</v>
      </c>
      <c r="C84" s="1" t="s">
        <v>34</v>
      </c>
    </row>
    <row r="85" spans="1:3" x14ac:dyDescent="0.2">
      <c r="A85" s="1" t="s">
        <v>34</v>
      </c>
      <c r="B85" s="1" t="s">
        <v>34</v>
      </c>
      <c r="C85" s="1" t="s">
        <v>34</v>
      </c>
    </row>
    <row r="86" spans="1:3" x14ac:dyDescent="0.2">
      <c r="A86" s="1" t="s">
        <v>34</v>
      </c>
      <c r="B86" s="1" t="s">
        <v>34</v>
      </c>
      <c r="C86" s="1" t="s">
        <v>34</v>
      </c>
    </row>
    <row r="87" spans="1:3" x14ac:dyDescent="0.2">
      <c r="A87" s="1" t="s">
        <v>34</v>
      </c>
      <c r="B87" s="1" t="s">
        <v>34</v>
      </c>
      <c r="C87" s="1" t="s">
        <v>34</v>
      </c>
    </row>
    <row r="88" spans="1:3" x14ac:dyDescent="0.2">
      <c r="A88" s="1" t="s">
        <v>34</v>
      </c>
      <c r="B88" s="1" t="s">
        <v>34</v>
      </c>
      <c r="C88" s="1" t="s">
        <v>34</v>
      </c>
    </row>
    <row r="89" spans="1:3" x14ac:dyDescent="0.2">
      <c r="A89" s="1" t="s">
        <v>34</v>
      </c>
      <c r="B89" s="1" t="s">
        <v>34</v>
      </c>
      <c r="C89" s="1" t="s">
        <v>34</v>
      </c>
    </row>
    <row r="90" spans="1:3" x14ac:dyDescent="0.2">
      <c r="A90" s="1" t="s">
        <v>34</v>
      </c>
      <c r="B90" s="1" t="s">
        <v>34</v>
      </c>
      <c r="C90" s="1" t="s">
        <v>34</v>
      </c>
    </row>
    <row r="91" spans="1:3" x14ac:dyDescent="0.2">
      <c r="A91" s="1" t="s">
        <v>34</v>
      </c>
      <c r="B91" s="1" t="s">
        <v>34</v>
      </c>
      <c r="C91" s="1" t="s">
        <v>34</v>
      </c>
    </row>
    <row r="92" spans="1:3" x14ac:dyDescent="0.2">
      <c r="A92" s="1" t="s">
        <v>34</v>
      </c>
      <c r="B92" s="1" t="s">
        <v>34</v>
      </c>
      <c r="C92" s="1" t="s">
        <v>34</v>
      </c>
    </row>
    <row r="93" spans="1:3" x14ac:dyDescent="0.2">
      <c r="A93" s="1" t="s">
        <v>34</v>
      </c>
      <c r="B93" s="1" t="s">
        <v>34</v>
      </c>
      <c r="C93" s="1" t="s">
        <v>34</v>
      </c>
    </row>
    <row r="94" spans="1:3" x14ac:dyDescent="0.2">
      <c r="A94" s="1" t="s">
        <v>34</v>
      </c>
      <c r="B94" s="1" t="s">
        <v>34</v>
      </c>
      <c r="C94" s="1" t="s">
        <v>34</v>
      </c>
    </row>
    <row r="95" spans="1:3" x14ac:dyDescent="0.2">
      <c r="A95" s="1" t="s">
        <v>34</v>
      </c>
      <c r="B95" s="1" t="s">
        <v>34</v>
      </c>
      <c r="C95" s="1" t="s">
        <v>34</v>
      </c>
    </row>
    <row r="96" spans="1:3" x14ac:dyDescent="0.2">
      <c r="A96" s="1" t="s">
        <v>34</v>
      </c>
      <c r="B96" s="1" t="s">
        <v>34</v>
      </c>
      <c r="C96" s="1" t="s">
        <v>34</v>
      </c>
    </row>
    <row r="97" spans="1:3" x14ac:dyDescent="0.2">
      <c r="A97" s="1" t="s">
        <v>34</v>
      </c>
      <c r="B97" s="1" t="s">
        <v>34</v>
      </c>
      <c r="C97" s="1" t="s">
        <v>34</v>
      </c>
    </row>
    <row r="98" spans="1:3" x14ac:dyDescent="0.2">
      <c r="A98" s="1" t="s">
        <v>34</v>
      </c>
      <c r="B98" s="1" t="s">
        <v>34</v>
      </c>
      <c r="C98" s="1" t="s">
        <v>34</v>
      </c>
    </row>
    <row r="99" spans="1:3" x14ac:dyDescent="0.2">
      <c r="A99" s="1" t="s">
        <v>34</v>
      </c>
      <c r="B99" s="1" t="s">
        <v>34</v>
      </c>
      <c r="C99" s="1" t="s">
        <v>34</v>
      </c>
    </row>
    <row r="100" spans="1:3" x14ac:dyDescent="0.2">
      <c r="A100" s="1" t="s">
        <v>34</v>
      </c>
      <c r="B100" s="1" t="s">
        <v>34</v>
      </c>
      <c r="C100" s="1" t="s">
        <v>34</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28DB3-D9D4-4CFE-A301-8A59E2D1564F}">
  <sheetPr codeName="Sheet6"/>
  <dimension ref="A1:B26"/>
  <sheetViews>
    <sheetView workbookViewId="0">
      <selection activeCell="N24" sqref="N24"/>
    </sheetView>
  </sheetViews>
  <sheetFormatPr baseColWidth="10" defaultColWidth="9.1640625" defaultRowHeight="15" x14ac:dyDescent="0.2"/>
  <cols>
    <col min="1" max="1" width="17.6640625" style="1" customWidth="1"/>
    <col min="2" max="16384" width="9.1640625" style="1"/>
  </cols>
  <sheetData>
    <row r="1" spans="1:1" ht="95" x14ac:dyDescent="1.1499999999999999">
      <c r="A1" s="46" t="s">
        <v>40</v>
      </c>
    </row>
    <row r="20" spans="1:2" x14ac:dyDescent="0.2">
      <c r="A20" s="54"/>
    </row>
    <row r="21" spans="1:2" ht="25.5" customHeight="1" x14ac:dyDescent="0.35">
      <c r="A21" s="55" t="s">
        <v>41</v>
      </c>
    </row>
    <row r="22" spans="1:2" ht="17" x14ac:dyDescent="0.25">
      <c r="A22" s="56" t="s">
        <v>3</v>
      </c>
      <c r="B22" s="1" t="str">
        <f>IF(GETPIVOTDATA("Sum of Excess Amount",'Calculation (Not for editing)'!$N$1,"Category","Shopping") = 0, ":(", ":)")</f>
        <v>:)</v>
      </c>
    </row>
    <row r="23" spans="1:2" ht="17" x14ac:dyDescent="0.25">
      <c r="A23" s="56" t="s">
        <v>4</v>
      </c>
      <c r="B23" s="1" t="str">
        <f>IF(GETPIVOTDATA("Sum of Excess Amount",'Calculation (Not for editing)'!$N$1,"Category","Bills") = 0, ":(", ":)")</f>
        <v>:)</v>
      </c>
    </row>
    <row r="24" spans="1:2" ht="17" x14ac:dyDescent="0.25">
      <c r="A24" s="56" t="s">
        <v>5</v>
      </c>
      <c r="B24" s="1" t="str">
        <f>IF(GETPIVOTDATA("Sum of Excess Amount",'Calculation (Not for editing)'!$N$1,"Category","School") = 0, ":(", ":)")</f>
        <v>:)</v>
      </c>
    </row>
    <row r="25" spans="1:2" ht="17" x14ac:dyDescent="0.25">
      <c r="A25" s="56" t="s">
        <v>6</v>
      </c>
      <c r="B25" s="1" t="str">
        <f>IF(GETPIVOTDATA("Sum of Excess Amount",'Calculation (Not for editing)'!$N$1,"Category","Grocery") = 0, ":(",":)")</f>
        <v>:)</v>
      </c>
    </row>
    <row r="26" spans="1:2" ht="17" x14ac:dyDescent="0.25">
      <c r="A26" s="56" t="s">
        <v>7</v>
      </c>
      <c r="B26" s="1" t="str">
        <f>IF(GETPIVOTDATA("Sum of Excess Amount",'Calculation (Not for editing)'!$N$1,"Category","Entertainment") = 0, ":(", ":)")</f>
        <v>:(</v>
      </c>
    </row>
  </sheetData>
  <conditionalFormatting sqref="B22:B26">
    <cfRule type="expression" dxfId="38" priority="2">
      <formula>ISNUMBER(SEARCH(":)", B22))</formula>
    </cfRule>
    <cfRule type="expression" dxfId="37" priority="1">
      <formula>ISNUMBER(SEARCH(":(", B22))</formula>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5" operator="containsText" id="{49B75702-69D3-4E6A-8FE7-9E93620DBFC1}">
            <xm:f>NOT(ISERROR(SEARCH(":)",B22)))</xm:f>
            <xm:f>":)"</xm:f>
            <x14:dxf>
              <font>
                <color auto="1"/>
              </font>
              <fill>
                <patternFill patternType="solid">
                  <fgColor theme="9" tint="0.39994506668294322"/>
                </patternFill>
              </fill>
            </x14:dxf>
          </x14:cfRule>
          <xm:sqref>B22:B26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9C83C-148F-45A9-AD36-125247FA43CC}">
  <sheetPr codeName="Sheet5"/>
  <dimension ref="A1:P13"/>
  <sheetViews>
    <sheetView workbookViewId="0">
      <selection activeCell="B38" sqref="B38"/>
    </sheetView>
  </sheetViews>
  <sheetFormatPr baseColWidth="10" defaultColWidth="8.83203125" defaultRowHeight="15" x14ac:dyDescent="0.2"/>
  <cols>
    <col min="1" max="3" width="8.83203125" style="39"/>
    <col min="4" max="4" width="11.1640625" style="39" bestFit="1" customWidth="1"/>
    <col min="5" max="5" width="12.1640625" style="39" bestFit="1" customWidth="1"/>
    <col min="6" max="6" width="11.33203125" style="39" bestFit="1" customWidth="1"/>
    <col min="7" max="13" width="8.83203125" style="39"/>
    <col min="14" max="14" width="12.1640625" style="39" bestFit="1" customWidth="1"/>
    <col min="15" max="15" width="23" style="39" bestFit="1" customWidth="1"/>
    <col min="16" max="16" width="18.33203125" style="39" bestFit="1" customWidth="1"/>
    <col min="17" max="18" width="26.5" style="39" bestFit="1" customWidth="1"/>
    <col min="19" max="16384" width="8.83203125" style="39"/>
  </cols>
  <sheetData>
    <row r="1" spans="1:16" x14ac:dyDescent="0.2">
      <c r="A1" s="43" t="s">
        <v>25</v>
      </c>
      <c r="B1" s="43" t="s">
        <v>26</v>
      </c>
      <c r="C1" s="43"/>
      <c r="D1" s="43" t="s">
        <v>27</v>
      </c>
      <c r="E1" s="43" t="s">
        <v>28</v>
      </c>
      <c r="F1" s="43"/>
      <c r="G1" s="43"/>
      <c r="H1" s="43"/>
      <c r="I1" s="43" t="s">
        <v>29</v>
      </c>
      <c r="J1" s="43" t="s">
        <v>30</v>
      </c>
      <c r="K1" s="43" t="s">
        <v>25</v>
      </c>
      <c r="L1" s="43"/>
      <c r="N1" s="44" t="s">
        <v>23</v>
      </c>
      <c r="O1" s="39" t="s">
        <v>31</v>
      </c>
      <c r="P1" s="39" t="s">
        <v>32</v>
      </c>
    </row>
    <row r="2" spans="1:16" x14ac:dyDescent="0.2">
      <c r="A2" s="43">
        <f>Budget!B11</f>
        <v>550</v>
      </c>
      <c r="B2" s="43">
        <f>Expense!G12</f>
        <v>300</v>
      </c>
      <c r="C2" s="43"/>
      <c r="D2" s="43">
        <v>260</v>
      </c>
      <c r="E2" s="43">
        <v>550</v>
      </c>
      <c r="F2" s="43"/>
      <c r="G2" s="43"/>
      <c r="H2" s="43"/>
      <c r="I2" s="43" t="s">
        <v>3</v>
      </c>
      <c r="J2" s="43">
        <f>GETPIVOTDATA("Amount:",Expense!$J$4,"Category:","Shopping")</f>
        <v>45</v>
      </c>
      <c r="K2" s="43">
        <f>Budget!B4</f>
        <v>100</v>
      </c>
      <c r="L2" s="43"/>
      <c r="N2" s="45" t="s">
        <v>4</v>
      </c>
      <c r="O2" s="57">
        <v>50</v>
      </c>
      <c r="P2" s="57">
        <v>150</v>
      </c>
    </row>
    <row r="3" spans="1:16" x14ac:dyDescent="0.2">
      <c r="A3" s="43"/>
      <c r="B3" s="43"/>
      <c r="C3" s="43"/>
      <c r="D3" s="43"/>
      <c r="E3" s="43"/>
      <c r="F3" s="43"/>
      <c r="G3" s="43"/>
      <c r="H3" s="43"/>
      <c r="I3" s="43" t="s">
        <v>4</v>
      </c>
      <c r="J3" s="43">
        <f>GETPIVOTDATA("Amount:",Expense!$J$4,"Category:","Bills")</f>
        <v>50</v>
      </c>
      <c r="K3" s="43">
        <f>Budget!B5</f>
        <v>200</v>
      </c>
      <c r="L3" s="43"/>
      <c r="N3" s="45" t="s">
        <v>7</v>
      </c>
      <c r="O3" s="57">
        <v>50</v>
      </c>
      <c r="P3" s="57">
        <v>0</v>
      </c>
    </row>
    <row r="4" spans="1:16" x14ac:dyDescent="0.2">
      <c r="A4" s="43"/>
      <c r="B4" s="43"/>
      <c r="C4" s="43"/>
      <c r="D4" s="43"/>
      <c r="E4" s="43"/>
      <c r="F4" s="43"/>
      <c r="G4" s="43"/>
      <c r="H4" s="43"/>
      <c r="I4" s="43" t="s">
        <v>5</v>
      </c>
      <c r="J4" s="43">
        <f>GETPIVOTDATA("Amount:",Expense!$J$4,"Category:","School")</f>
        <v>25</v>
      </c>
      <c r="K4" s="43">
        <f>Budget!B6</f>
        <v>100</v>
      </c>
      <c r="L4" s="43"/>
      <c r="N4" s="45" t="s">
        <v>6</v>
      </c>
      <c r="O4" s="57">
        <v>90</v>
      </c>
      <c r="P4" s="57">
        <v>10</v>
      </c>
    </row>
    <row r="5" spans="1:16" x14ac:dyDescent="0.2">
      <c r="A5" s="43"/>
      <c r="B5" s="43"/>
      <c r="C5" s="43"/>
      <c r="D5" s="43"/>
      <c r="E5" s="43"/>
      <c r="F5" s="43"/>
      <c r="G5" s="43"/>
      <c r="H5" s="43"/>
      <c r="I5" s="43" t="s">
        <v>6</v>
      </c>
      <c r="J5" s="43">
        <f>GETPIVOTDATA("Amount:",Expense!$J$4,"Category:","Groceries")</f>
        <v>90</v>
      </c>
      <c r="K5" s="43">
        <f>Budget!B7</f>
        <v>100</v>
      </c>
      <c r="L5" s="43"/>
      <c r="N5" s="45" t="s">
        <v>5</v>
      </c>
      <c r="O5" s="57">
        <v>25</v>
      </c>
      <c r="P5" s="57">
        <v>75</v>
      </c>
    </row>
    <row r="6" spans="1:16" x14ac:dyDescent="0.2">
      <c r="A6" s="43"/>
      <c r="B6" s="43"/>
      <c r="C6" s="43"/>
      <c r="D6" s="43"/>
      <c r="E6" s="43"/>
      <c r="F6" s="43"/>
      <c r="G6" s="43"/>
      <c r="H6" s="43"/>
      <c r="I6" s="43" t="s">
        <v>7</v>
      </c>
      <c r="J6" s="43">
        <f>GETPIVOTDATA("Amount:",Expense!$J$4,"Category:","Entertainment")</f>
        <v>90</v>
      </c>
      <c r="K6" s="43">
        <f>Budget!B8</f>
        <v>50</v>
      </c>
      <c r="L6" s="43"/>
      <c r="N6" s="45" t="s">
        <v>3</v>
      </c>
      <c r="O6" s="57">
        <v>45</v>
      </c>
      <c r="P6" s="57">
        <v>55</v>
      </c>
    </row>
    <row r="7" spans="1:16" ht="16" x14ac:dyDescent="0.2">
      <c r="A7" s="40"/>
      <c r="B7" s="41"/>
      <c r="C7" s="42"/>
      <c r="D7" s="43"/>
      <c r="E7" s="43"/>
      <c r="F7" s="43"/>
      <c r="G7" s="43"/>
      <c r="H7" s="43"/>
      <c r="I7" s="43"/>
      <c r="J7" s="43"/>
      <c r="K7" s="43"/>
      <c r="L7" s="43"/>
      <c r="N7" s="45" t="s">
        <v>21</v>
      </c>
      <c r="O7" s="57">
        <v>300</v>
      </c>
      <c r="P7" s="57">
        <v>250</v>
      </c>
    </row>
    <row r="8" spans="1:16" ht="16" x14ac:dyDescent="0.2">
      <c r="A8" s="40"/>
      <c r="B8" s="41"/>
      <c r="C8" s="42"/>
      <c r="D8" s="43"/>
      <c r="E8" s="43"/>
      <c r="F8" s="43"/>
      <c r="G8" s="43"/>
      <c r="H8" s="43"/>
      <c r="I8" s="43"/>
      <c r="J8" s="43"/>
      <c r="K8" s="43"/>
      <c r="L8" s="43"/>
    </row>
    <row r="9" spans="1:16" ht="16" x14ac:dyDescent="0.2">
      <c r="A9" s="40"/>
      <c r="B9" s="41"/>
      <c r="C9" s="42"/>
      <c r="D9" s="43"/>
      <c r="E9" s="43"/>
      <c r="F9" s="43"/>
      <c r="G9" s="43"/>
      <c r="H9" s="43"/>
      <c r="I9" s="43"/>
      <c r="J9" s="43"/>
      <c r="K9" s="43"/>
      <c r="L9" s="43"/>
    </row>
    <row r="10" spans="1:16" ht="16" x14ac:dyDescent="0.2">
      <c r="A10" s="40"/>
      <c r="B10" s="41"/>
      <c r="C10" s="42"/>
      <c r="D10" s="43"/>
      <c r="E10" s="43"/>
      <c r="F10" s="43"/>
      <c r="G10" s="43"/>
      <c r="H10" s="43"/>
      <c r="I10" s="43"/>
      <c r="J10" s="43"/>
      <c r="K10" s="43"/>
      <c r="L10" s="43"/>
    </row>
    <row r="11" spans="1:16" ht="16" x14ac:dyDescent="0.2">
      <c r="A11" s="40"/>
      <c r="B11" s="41"/>
      <c r="C11" s="42"/>
      <c r="D11" s="43"/>
      <c r="E11" s="43"/>
      <c r="F11" s="43"/>
      <c r="G11" s="43"/>
      <c r="H11" s="43"/>
      <c r="I11" s="43"/>
      <c r="J11" s="43"/>
      <c r="K11" s="43"/>
      <c r="L11" s="43"/>
    </row>
    <row r="12" spans="1:16" x14ac:dyDescent="0.2">
      <c r="A12" s="42"/>
      <c r="B12" s="42"/>
      <c r="C12" s="42"/>
      <c r="D12" s="43"/>
      <c r="E12" s="43"/>
      <c r="F12" s="43"/>
      <c r="G12" s="43"/>
      <c r="H12" s="43"/>
      <c r="I12" s="43"/>
      <c r="J12" s="43"/>
      <c r="K12" s="43"/>
      <c r="L12" s="43"/>
    </row>
    <row r="13" spans="1:16" x14ac:dyDescent="0.2">
      <c r="A13" s="43"/>
      <c r="B13" s="43"/>
      <c r="C13" s="43"/>
      <c r="D13" s="43"/>
      <c r="E13" s="43"/>
      <c r="F13" s="43"/>
      <c r="G13" s="43"/>
      <c r="H13" s="43"/>
      <c r="I13" s="43"/>
      <c r="J13" s="43"/>
      <c r="K13" s="43"/>
      <c r="L13" s="4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1C7F5D13426EC4993B8CBB356CE693C" ma:contentTypeVersion="6" ma:contentTypeDescription="Create a new document." ma:contentTypeScope="" ma:versionID="53ff4199b69868e8c8a86eba762d04c7">
  <xsd:schema xmlns:xsd="http://www.w3.org/2001/XMLSchema" xmlns:xs="http://www.w3.org/2001/XMLSchema" xmlns:p="http://schemas.microsoft.com/office/2006/metadata/properties" xmlns:ns3="29f7fb95-c3f2-4a10-ab7b-a3a76dc8befa" targetNamespace="http://schemas.microsoft.com/office/2006/metadata/properties" ma:root="true" ma:fieldsID="018221d3724316f53e8c4c61a3bcbff1" ns3:_="">
    <xsd:import namespace="29f7fb95-c3f2-4a10-ab7b-a3a76dc8befa"/>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9f7fb95-c3f2-4a10-ab7b-a3a76dc8befa"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29f7fb95-c3f2-4a10-ab7b-a3a76dc8befa" xsi:nil="true"/>
  </documentManagement>
</p:properties>
</file>

<file path=customXml/itemProps1.xml><?xml version="1.0" encoding="utf-8"?>
<ds:datastoreItem xmlns:ds="http://schemas.openxmlformats.org/officeDocument/2006/customXml" ds:itemID="{3E4B4781-0695-48B5-A6F6-9BB01C0DB7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9f7fb95-c3f2-4a10-ab7b-a3a76dc8bef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C5E01BD-9E19-4108-BF62-10C5A3A70036}">
  <ds:schemaRefs>
    <ds:schemaRef ds:uri="http://schemas.microsoft.com/sharepoint/v3/contenttype/forms"/>
  </ds:schemaRefs>
</ds:datastoreItem>
</file>

<file path=customXml/itemProps3.xml><?xml version="1.0" encoding="utf-8"?>
<ds:datastoreItem xmlns:ds="http://schemas.openxmlformats.org/officeDocument/2006/customXml" ds:itemID="{8C57ABE7-875C-4E2C-A952-0B1E760377F9}">
  <ds:schemaRefs>
    <ds:schemaRef ds:uri="http://www.w3.org/XML/1998/namespace"/>
    <ds:schemaRef ds:uri="http://purl.org/dc/dcmitype/"/>
    <ds:schemaRef ds:uri="http://purl.org/dc/elements/1.1/"/>
    <ds:schemaRef ds:uri="http://schemas.microsoft.com/office/infopath/2007/PartnerControls"/>
    <ds:schemaRef ds:uri="29f7fb95-c3f2-4a10-ab7b-a3a76dc8befa"/>
    <ds:schemaRef ds:uri="http://purl.org/dc/terms/"/>
    <ds:schemaRef ds:uri="http://schemas.microsoft.com/office/2006/documentManagement/types"/>
    <ds:schemaRef ds:uri="http://schemas.openxmlformats.org/package/2006/metadata/core-properties"/>
    <ds:schemaRef ds:uri="http://schemas.microsoft.com/office/2006/metadata/properties"/>
  </ds:schemaRefs>
</ds:datastoreItem>
</file>

<file path=docMetadata/LabelInfo.xml><?xml version="1.0" encoding="utf-8"?>
<clbl:labelList xmlns:clbl="http://schemas.microsoft.com/office/2020/mipLabelMetadata">
  <clbl:label id="{723a5a87-f39a-4a22-9247-3fc240c01396}" enabled="0" method="" siteId="{723a5a87-f39a-4a22-9247-3fc240c01396}"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Expense</vt:lpstr>
      <vt:lpstr>Budget</vt:lpstr>
      <vt:lpstr>Income</vt:lpstr>
      <vt:lpstr>Advice</vt:lpstr>
      <vt:lpstr>Calculation (Not for editing)</vt:lpstr>
    </vt:vector>
  </TitlesOfParts>
  <Company>University of Waterloo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Panjri Parmar</dc:creator>
  <cp:lastModifiedBy>Panjri Parmar</cp:lastModifiedBy>
  <dcterms:created xsi:type="dcterms:W3CDTF">2024-11-25T23:26:42Z</dcterms:created>
  <dcterms:modified xsi:type="dcterms:W3CDTF">2024-11-29T23:41:17Z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0x010100E1C7F5D13426EC4993B8CBB356CE693C</vt:lpwstr>
  </property>
</Properties>
</file>